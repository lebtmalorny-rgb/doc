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orbenko.d.a/Desktop/PVS ПАО/ДКБ/"/>
    </mc:Choice>
  </mc:AlternateContent>
  <xr:revisionPtr revIDLastSave="0" documentId="13_ncr:1_{9CD06B56-81DB-1942-943C-BFEFDAE35B4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Все требования" sheetId="1" r:id="rId1"/>
    <sheet name="Первый релиз (04.09)" sheetId="2" r:id="rId2"/>
    <sheet name=" Первый релиз (05.08)" sheetId="3" r:id="rId3"/>
    <sheet name="Первый релиз (07.09)" sheetId="4" r:id="rId4"/>
    <sheet name="Все требования (07.09)" sheetId="5" r:id="rId5"/>
  </sheets>
  <definedNames>
    <definedName name="_xlnm._FilterDatabase" localSheetId="2" hidden="1">' Первый релиз (05.08)'!$B$8:$G$169</definedName>
    <definedName name="_xlnm._FilterDatabase" localSheetId="0" hidden="1">'Все требования'!$B$2:$K$170</definedName>
    <definedName name="_xlnm._FilterDatabase" localSheetId="4" hidden="1">'Все требования (07.09)'!$B$2:$D$153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" i="3" l="1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0" i="1"/>
  <c r="E150" i="1"/>
  <c r="F148" i="1"/>
  <c r="E148" i="1"/>
  <c r="F147" i="1"/>
  <c r="E147" i="1"/>
  <c r="F146" i="1"/>
  <c r="E146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<sst xmlns="http://schemas.openxmlformats.org/spreadsheetml/2006/main" count="2080" uniqueCount="487">
  <si>
    <t>Выполнено в 1 релизе?</t>
  </si>
  <si>
    <t>№ требования</t>
  </si>
  <si>
    <t>Требование</t>
  </si>
  <si>
    <t>Задача в Jira</t>
  </si>
  <si>
    <t>На 05.08</t>
  </si>
  <si>
    <t>На 04.09</t>
  </si>
  <si>
    <t>На 07.09</t>
  </si>
  <si>
    <t>Будет готово к проверке в релиз 1.0</t>
  </si>
  <si>
    <t>Плановая дата реализации</t>
  </si>
  <si>
    <t>Комментарий</t>
  </si>
  <si>
    <t>Актуальный номер</t>
  </si>
  <si>
    <t>Требования к реализации ролевой модели</t>
  </si>
  <si>
    <t>ДКБ-РМ-01</t>
  </si>
  <si>
    <t>Ролевая модель должна соответствовать принципу наименьших привилегий. Выдаваться должны только те права и полномочия в системе, которые необходимы для выполнения конкретной задачи. (требование к ПУЗ выдаваемый через PAM, ТУЗ) </t>
  </si>
  <si>
    <t>https://jira.sberbank.ru/browse/CRPLTFRM-37124</t>
  </si>
  <si>
    <t>Да</t>
  </si>
  <si>
    <t>ДКБ-РМ-02</t>
  </si>
  <si>
    <t>Не должно быть совмещения ролей администратора ПВ с любыми другими ролями, наследование и агрегирование прав должны быть согласованы с УЭК.</t>
  </si>
  <si>
    <t>Обратить внимание на матрицу несовместимости ролей</t>
  </si>
  <si>
    <t>ДКБ-РМ-03</t>
  </si>
  <si>
    <t>Запуск любых скриптов администраторами должен производиться только через PAM под привилегированной учетной записью. (ЦКЗ)</t>
  </si>
  <si>
    <t>Нет</t>
  </si>
  <si>
    <t>ДКБ-РМ-04</t>
  </si>
  <si>
    <t>Управление ролевыми моделями и ПУЗ, ТУЗ должны происходить в АС СУУПТ.</t>
  </si>
  <si>
    <t>ДКБ-РМ-05</t>
  </si>
  <si>
    <t>Использование локальных технологических учетных записей для исполнения задач пользователей и администраторов запрещено. (ЦКЗ)</t>
  </si>
  <si>
    <t>-</t>
  </si>
  <si>
    <t>ДКБ-РМ-06</t>
  </si>
  <si>
    <t>Запрет использования локальных учетных записей в системе.</t>
  </si>
  <si>
    <t>7*</t>
  </si>
  <si>
    <t>ДКБ-РМ-07</t>
  </si>
  <si>
    <t>Учетные записи по умолчанию должны быть отключены</t>
  </si>
  <si>
    <t>ДКБ-РМ-08</t>
  </si>
  <si>
    <t>UI пользователя (администратора) системы не должен отображать элементы, на работу с которыми у него нет прав.</t>
  </si>
  <si>
    <t>Элементы есть, но действия заблокированы</t>
  </si>
  <si>
    <t>ДКБ-РМ-09</t>
  </si>
  <si>
    <t>Парольная информация (ключи, секреты, пароли и т.д) должна храниться в Secman.</t>
  </si>
  <si>
    <t>За исключением нулевых секретов (ДКБ-ЗСО-01)</t>
  </si>
  <si>
    <t>63*</t>
  </si>
  <si>
    <t>ДКБ-РМ-10</t>
  </si>
  <si>
    <t>Должна быть исключена доступ к паролям и другим конфиденциальным данным пользователей системы. </t>
  </si>
  <si>
    <t>ДКБ-РМ-11</t>
  </si>
  <si>
    <t>Должен обеспечиваться контроль данных загружаемых в систему, исключающий возможность загрузки произвольного кода и исполняемых файлов (такие как SQL инъекции, скрипты, файлы запуска и т.д.).</t>
  </si>
  <si>
    <t>ДКБ-РМ-12</t>
  </si>
  <si>
    <t>В средстве виртуализации должен быть реализован ролевой метод управления доступом с четырьмя ролями пользователей: разработчик виртуальной машины, администратор безопасности средства виртуализации, администратор средства виртуализации, администратор виртуальной машины.</t>
  </si>
  <si>
    <t>Итоговая РМ будет учтена в следующем релизе</t>
  </si>
  <si>
    <t>ДКБ-РМ-13</t>
  </si>
  <si>
    <r>
      <rPr>
        <sz val="10.5"/>
        <color rgb="FF172B4D"/>
        <rFont val="Liberation Sans"/>
      </rPr>
      <t>Роль разработчика виртуальной машины должна позволять:
- создавать виртуальные машины;</t>
    </r>
    <r>
      <rPr>
        <strike/>
        <sz val="10.5"/>
        <color rgb="FF172B4D"/>
        <rFont val="Liberation Sans"/>
      </rPr>
      <t xml:space="preserve">
</t>
    </r>
    <r>
      <rPr>
        <sz val="10.5"/>
        <color rgb="FF172B4D"/>
        <rFont val="Liberation Sans"/>
      </rPr>
      <t>- изменять конфигурации виртуальных машин.</t>
    </r>
  </si>
  <si>
    <t>ДКБ-РМ-14</t>
  </si>
  <si>
    <t>Роль администратора безопасности средства виртуализации должна позволять:
- иметь доступ на чтение к журналу событий безопасности средства виртуализации;
- формировать отчеты с учетом заданных критериев отбора, выгрузку (экспорт) данных из журнала событий безопасности средства виртуализации.</t>
  </si>
  <si>
    <t>ДКБ-РМ-15</t>
  </si>
  <si>
    <r>
      <rPr>
        <sz val="10.5"/>
        <color rgb="FF172B4D"/>
        <rFont val="Liberation Sans"/>
      </rPr>
      <t>Роль администратора средства виртуализации должна позволять:
- создавать учетные записи пользователей средства виртуализации;
- управлять учетными записями пользователей средства виртуализации;
- назначать права доступа пользователям средства виртуализации к виртуальным машинам;
- создавать и удалять виртуальное оборудование средства виртуализации;
- изменять конфигурации виртуального оборудования средства виртуализации;</t>
    </r>
    <r>
      <rPr>
        <u/>
        <sz val="10.5"/>
        <color rgb="FF172B4D"/>
        <rFont val="Liberation Sans"/>
      </rPr>
      <t xml:space="preserve">
</t>
    </r>
    <r>
      <rPr>
        <sz val="10.5"/>
        <color rgb="FF172B4D"/>
        <rFont val="Liberation Sans"/>
      </rPr>
      <t>-  управлять доступом виртуальных машин к физическому и виртуальному оборудованию;</t>
    </r>
    <r>
      <rPr>
        <u/>
        <sz val="10.5"/>
        <color rgb="FF172B4D"/>
        <rFont val="Liberation Sans"/>
      </rPr>
      <t xml:space="preserve">
</t>
    </r>
    <r>
      <rPr>
        <sz val="10.5"/>
        <color rgb="FF172B4D"/>
        <rFont val="Liberation Sans"/>
      </rPr>
      <t>- управлять квотами доступа виртуальных машин к физическому и виртуальному оборудованию;
- управлять перемещением виртуальных машин;</t>
    </r>
    <r>
      <rPr>
        <u/>
        <sz val="10.5"/>
        <color rgb="FF172B4D"/>
        <rFont val="Liberation Sans"/>
      </rPr>
      <t xml:space="preserve">
</t>
    </r>
    <r>
      <rPr>
        <sz val="10.5"/>
        <color rgb="FF172B4D"/>
        <rFont val="Liberation Sans"/>
      </rPr>
      <t>- удалять виртуальные машины;
- запускать и останавливать виртуальные машины;
- создавать снимки состояния виртуальных машин, включающих файл конфигурации виртуальной машины, образа виртуальной машины и образа памяти виртуальной машины.</t>
    </r>
  </si>
  <si>
    <t>ДКБ-РМ-16</t>
  </si>
  <si>
    <t>Роль администратора виртуальной машины должна позволять осуществлять доступ пользователя средства виртуализации к виртуальной машине посредством интерфейса средства виртуализации.</t>
  </si>
  <si>
    <t>Требования к механизмам аутентификации и авторизации</t>
  </si>
  <si>
    <t>ДКБ-А-01</t>
  </si>
  <si>
    <t>Аутентификация с использованием привилегированных УЗ на компонентах ПВ должна осуществляться через АС PAM.</t>
  </si>
  <si>
    <t>Подключение к инсталляции обязательно через PAM, требования в адрес СБТ не передается</t>
  </si>
  <si>
    <t>ДКБ-А-02</t>
  </si>
  <si>
    <t>У администратора не должно быть прямого доступ к файловому хранилищу дисков виртуальных машин через административный интерфейс PV Stack</t>
  </si>
  <si>
    <t>ДКБ-А-03</t>
  </si>
  <si>
    <t>Механизм резервного копирования PV Stack должен исключить необходимость предоставления привилегированного доступа к системе для администратора</t>
  </si>
  <si>
    <t>???</t>
  </si>
  <si>
    <t>См. кейс с Крепостью</t>
  </si>
  <si>
    <t>ДКБ-А-04</t>
  </si>
  <si>
    <t>Должно быть реализовано ограничение количества неуспешных попыток доступа к ПВ с последующей блокировкой учетной записи доступа после достижения установленного максимального числа попыток.</t>
  </si>
  <si>
    <t>ДКБ-А-05</t>
  </si>
  <si>
    <t>Должно быть реализовано ограничение числа параллельных сеансов доступа.</t>
  </si>
  <si>
    <t>ДКБ-А-06</t>
  </si>
  <si>
    <t>Блокирование сеанса доступа пользователя при неактивности, по истечении 15 минут.</t>
  </si>
  <si>
    <t>ДКБ-А-07</t>
  </si>
  <si>
    <t>Первичная идентификация пользователей средства виртуализации 6 класса защиты должна осуществляться администратором средства виртуализации.</t>
  </si>
  <si>
    <t>Требование не к продукту vs. мнение коллег из отдела КИ</t>
  </si>
  <si>
    <t>ДКБ-А-08</t>
  </si>
  <si>
    <t>Идентификация и аутентификация пользователей в средстве виртуализации осуществляется с учетом требований разделов 4 – 7 ГОСТ Р 58833–2020 "Защита информации. Идентификация и аутентификация. Общие положения"</t>
  </si>
  <si>
    <t>ДКБ-А-09</t>
  </si>
  <si>
    <t>Средство виртуализации должно осуществлять аутентификацию пользователей при предъявлении идентификатора и пароля пользователя.</t>
  </si>
  <si>
    <t>ДКБ-А-10</t>
  </si>
  <si>
    <t>Пароль пользователя для первичной аутентификации должен устанавливаться администратором средства виртуализации.</t>
  </si>
  <si>
    <t>ДКБ-А-11</t>
  </si>
  <si>
    <t>Средство виртуализации должно обеспечивать возможность смены установленного администратором средства виртуализации пароля пользователя средства виртуализации после его первичной аутентификации.</t>
  </si>
  <si>
    <t>ДКБ-А-12</t>
  </si>
  <si>
    <t>Средство виртуализации должно обеспечивать невозможность установления одинаковых идентификаторов и паролей для разных пользователей.</t>
  </si>
  <si>
    <t>ДКБ-А-13</t>
  </si>
  <si>
    <t>При попытке ввода неправильного значения идентификатора или пароля пользователя должно выводиться сообщение с приглашением ввести правильный идентификатор и пароль еще раз.</t>
  </si>
  <si>
    <t>ДКБ-А-14</t>
  </si>
  <si>
    <t>При исчерпании установленного максимального количества неуспешных попыток ввода неправильного пароля учетная запись пользователя средства виртуализации должна быть заблокирована с возможностью разблокировки администратором средства виртуализации или с возможностью автоматической разблокировки по истечении временного интервала, устанавливаемого администратором средства виртуализации.</t>
  </si>
  <si>
    <t>ДКБ-А-15</t>
  </si>
  <si>
    <t>Защита пароля пользователя средства виртуализации должна обеспечиваться при его вводе за счет отображения вводимых символов условными знаками.</t>
  </si>
  <si>
    <t>Требования к защите сетевых соединений</t>
  </si>
  <si>
    <t>ДКБ-С-01</t>
  </si>
  <si>
    <t>Системы-участники (включая части системы, шлюзы, платформенные сервисы и т.д.)  при сетевых взаимодействиях должны обеспечивать строгую аутентификацию и авторизацию друг друга с помощью криптостойких алгоритмов шифрования, соответствующих комплаенсу банка. Сетевые соединения с не аутентифицированными и/или неавторизованными сторонами должен быть исключен.</t>
  </si>
  <si>
    <t>ДКБ-С-02</t>
  </si>
  <si>
    <t>Сертификаты должны быть выпущены УЦ банка. Должен быть реализован механизм проверки их по спискам отзыва (OCSP/CRL)</t>
  </si>
  <si>
    <t>Вопрос к формулировке требования vs. Аутентификация по клиентскому сертификату</t>
  </si>
  <si>
    <t>ДКБ-С-03</t>
  </si>
  <si>
    <t>Поддержка возможности сетевой изоляции одной ВМ от другой в том числе в пределах одного сетевого сегмента.</t>
  </si>
  <si>
    <t>ДКБ-С-04</t>
  </si>
  <si>
    <t>Реализация возможности создать правило разграничения сетевого доступа для одного хоста.</t>
  </si>
  <si>
    <t>ДКБ-С-05</t>
  </si>
  <si>
    <t>Реализация возможности создать правило разграничения сетевого доступа для группы хостов.</t>
  </si>
  <si>
    <t>ДКБ-С-06</t>
  </si>
  <si>
    <t>Реализация возможности создать правило разграничения сетевого доступа для одного хоста и конкретного сетевого интерфейса.</t>
  </si>
  <si>
    <t>ДКБ-С-07</t>
  </si>
  <si>
    <t>Реализация возможности создать правило разграничения сетевого доступа для группы хостов и конкретных сетевых интерфейсов на них.</t>
  </si>
  <si>
    <t>ДКБ-С-08</t>
  </si>
  <si>
    <t>Реализация возможности просмотра правила разграничения сетевого доступа для одного хоста.</t>
  </si>
  <si>
    <t>ДКБ-С-09</t>
  </si>
  <si>
    <t>Реализация возможности просмотра правила разграничения сетевого доступа для группы хостов.</t>
  </si>
  <si>
    <t>ДКБ-С-10</t>
  </si>
  <si>
    <t>Реализация возможности отключения правил разграничения доступа для одного хоста.</t>
  </si>
  <si>
    <t>ДКБ-С-11</t>
  </si>
  <si>
    <t>Реализация возможности отключения правил разграничения доступа для группы хостов.</t>
  </si>
  <si>
    <t>ДКБ-С-12</t>
  </si>
  <si>
    <t>Реализация возможности объединения различных ВМ в группы с разграничением доступа (поддержка вложенных групп и темпоральных групп, членство в которых определяется временем/датой).</t>
  </si>
  <si>
    <t>ДКБ-С-13</t>
  </si>
  <si>
    <t>Реализация возможности разрешать или ограничивать сетевое взаимодействие между двумя узлами без привязки к сетевым портам TCP/UDP.</t>
  </si>
  <si>
    <t>ДКБ-С-14</t>
  </si>
  <si>
    <t>Реализация возможности разрешать или ограничивать сетевое взаимодействие между группами узлов без привязки к сетевым портам TCP/UDP.</t>
  </si>
  <si>
    <t>ДКБ-С-15</t>
  </si>
  <si>
    <t>Реализация возможности разрешать или ограничивать сетевое взаимодействие между ВМ по определенным сетевым портам TCP/UDP.</t>
  </si>
  <si>
    <t>ДКБ-С-16</t>
  </si>
  <si>
    <t>Реализация возможности разрешать или ограничивать сетевое взаимодействие по определенным сетевым протоколам.</t>
  </si>
  <si>
    <t>ДКБ-С-17</t>
  </si>
  <si>
    <t>Реализация возможности ограничивать время действия примененных правил сегментирования.</t>
  </si>
  <si>
    <t>ДКБ-С-18</t>
  </si>
  <si>
    <t>Реализация возможности применять правила сегментирования в определенное время, ежедневно, еженедельно, ежемесячно.</t>
  </si>
  <si>
    <t>ДКБ-С-19</t>
  </si>
  <si>
    <t>Реализация поддержки IPv6</t>
  </si>
  <si>
    <t>ДКБ-С-20</t>
  </si>
  <si>
    <t>Реализация фильтрации по URL и FQDN (L7-политики)</t>
  </si>
  <si>
    <t>ДКБ-С-21</t>
  </si>
  <si>
    <t>Реализация тегов идентификационной модели безопасности Identity-Based Access Control (IBAC) для динамического формирования групп безопасности</t>
  </si>
  <si>
    <t>https://jira.sberbank.ru/browse/CRPLTFRM-37127</t>
  </si>
  <si>
    <t>ДКБ-С-22</t>
  </si>
  <si>
    <t>Реализация динамических групп безопасности (Dynamic Security Groups) для наполнения атрибутами: имена ВМ, теги, операционная система</t>
  </si>
  <si>
    <t>ДКБ-С-23</t>
  </si>
  <si>
    <t>Реализация API для интеграции с внешними системами (МETA/SberNAO)</t>
  </si>
  <si>
    <t>В рамках релиза "Микросегментация"</t>
  </si>
  <si>
    <t>ДКБ-С-24</t>
  </si>
  <si>
    <t>Реализация сохранения политик Overlay-сети (VXLAN и/или Geneve c EVPN control plane)</t>
  </si>
  <si>
    <t>ДКБ-С-25</t>
  </si>
  <si>
    <t>Реализация возможности применения новых политик в режиме наблюдения без блокировки трафика для анализа их влияния на бизнес-сервисы перед включением</t>
  </si>
  <si>
    <t>ДКБ-С-26</t>
  </si>
  <si>
    <t>Реализация возможности обнаружения конфликтов и избыточности (API-доступный механизм семантического анализа политик для обнаружения противоречий (conflict detection) и избыточных разрешений (redundancy detection)</t>
  </si>
  <si>
    <t>ДКБ-С-27</t>
  </si>
  <si>
    <t>Реализация встроенного симулятора прохождения пакета с поддержкой Identity (меток), FQDN и L7-параметров для пошаговой эмуляции и диагностики политик (аналог пакетного трассировщика)</t>
  </si>
  <si>
    <t>ДКБ-С-28</t>
  </si>
  <si>
    <t>Реализация поддержки жизненного цикла и хранения политик через DevOps (интеграция с системами Банка, например GitOps, Terraform, Ansible).</t>
  </si>
  <si>
    <t>ДКБ-С-29</t>
  </si>
  <si>
    <t>Реализация отказоустойчивого распределённого кэша состояния соединений (stateful session table) с репликацией между узлами кластера для сохранения отслеживания сессий при отказе узла</t>
  </si>
  <si>
    <t>ДКБ-С-30</t>
  </si>
  <si>
    <t>Реализация возможности передачи событий работы правил и аудита действий над политикой доступа во внешнею SIEM систему</t>
  </si>
  <si>
    <t>ДКБ-С-31</t>
  </si>
  <si>
    <t>Интерфейсы управления должны быть выделены в отдельную VLAN сеть.</t>
  </si>
  <si>
    <t>ДКБ-С-32</t>
  </si>
  <si>
    <t>Должны быть описаны все порты, используемые для взаимодействия внутренних компонентов, и порты внешних подключений (административный доступ) для настроек файервола</t>
  </si>
  <si>
    <t>50*</t>
  </si>
  <si>
    <t>ДКБ-С-33</t>
  </si>
  <si>
    <t>В целях обеспечения удаленного доступа пользователей с использованием сетей связи общего пользования к средству виртуализации должны применяться средства криптографической защиты информации, прошедшие процедуру оценки соответствия в соответствии с законодательством Российской Федерации.</t>
  </si>
  <si>
    <t>Требование не к продукту</t>
  </si>
  <si>
    <t>Требования к реализации аудита (ПКБ) должно быть согласовано с УЭК и ЦКЗ</t>
  </si>
  <si>
    <t>ДКБ-ПКБ-01</t>
  </si>
  <si>
    <t>Возможность передачи логов, событий безопасности во внешние системы.</t>
  </si>
  <si>
    <t>ДКБ-ПКБ-02</t>
  </si>
  <si>
    <t>Реализация возможности передачи событий аудита компонентов ПВ в централизованный сервис аудита с использованием брокера сообщений/http, с поддержкой защищенного авторизованного соединения.</t>
  </si>
  <si>
    <t>ДКБ-ПКБ-03</t>
  </si>
  <si>
    <t>Реализация функции запрета на отключение передачи событий в централизованный сервис аудита.</t>
  </si>
  <si>
    <t>ДКБ-ПКБ-04</t>
  </si>
  <si>
    <t>Каждое событие аудита обязательно должно содержать следующий минимальный набор атрибутов:</t>
  </si>
  <si>
    <t>ДКБ-ПКБ-04.1</t>
  </si>
  <si>
    <t>-        дата и время (с точностью до секунды);</t>
  </si>
  <si>
    <t>ДКБ-ПКБ-04.2</t>
  </si>
  <si>
    <t>-        идентификатор пользователя;</t>
  </si>
  <si>
    <t>ДКБ-ПКБ-04.3</t>
  </si>
  <si>
    <t>-        идентификатор действия, которое привело к возникновению события;</t>
  </si>
  <si>
    <t>ДКБ-ПКБ-04.4</t>
  </si>
  <si>
    <t>-        наименование события и его уникальный идентификатор;</t>
  </si>
  <si>
    <t>ДКБ-ПКБ-04.5</t>
  </si>
  <si>
    <t>-        результат (успешный/неуспешный);</t>
  </si>
  <si>
    <t>ДКБ-ПКБ-04.6 (опционально)</t>
  </si>
  <si>
    <t>-        старое и новое значение (для событий изменения объекта);</t>
  </si>
  <si>
    <t>ДКБ-ПКБ-04.7</t>
  </si>
  <si>
    <t>-        идентификатор (адрес) системного компонента (компьютера), используемого для доступа к системе;</t>
  </si>
  <si>
    <t>ДКБ-ПКБ-04.8</t>
  </si>
  <si>
    <t>-        идентификатор (адрес) или название данных, системного компонента или ресурса, на которые повлияло указанное событие.</t>
  </si>
  <si>
    <t>ДКБ-ПКБ-05</t>
  </si>
  <si>
    <t>Список событий аудита должен включать:</t>
  </si>
  <si>
    <t>ДКБ-ПКБ-05.1</t>
  </si>
  <si>
    <t>-        создание/изменение/удаления пользователей и их прав доступа администратором;</t>
  </si>
  <si>
    <t>ДКБ-ПКБ-05.2</t>
  </si>
  <si>
    <t>-        аутентификация, авторизация пользователей ВМ и пользователей Системы (успешная/неуспешная);</t>
  </si>
  <si>
    <t>ДКБ-ПКБ-05.3</t>
  </si>
  <si>
    <t>-        изменение параметров и системных настроек системы;</t>
  </si>
  <si>
    <t>ДКБ-ПКБ-05.4</t>
  </si>
  <si>
    <t>-        действия администраторов системы;</t>
  </si>
  <si>
    <t>ДКБ-ПКБ-05.5</t>
  </si>
  <si>
    <t>-        доступ к компонентам сервиса/системы;</t>
  </si>
  <si>
    <t>ДКБ-ПКБ-05.6</t>
  </si>
  <si>
    <t>-        случаи недоступности компонентов сервисов/систем, включая централизованный сервис аудита;</t>
  </si>
  <si>
    <t>ДКБ-ПКБ-05.7</t>
  </si>
  <si>
    <t>-        использование и изменение механизмов идентификации и аутентификации;</t>
  </si>
  <si>
    <t>ДКБ-ПКБ-05.8</t>
  </si>
  <si>
    <t>-        операции с секретами;</t>
  </si>
  <si>
    <t>ДКБ-ПКБ-05.9</t>
  </si>
  <si>
    <t>-        создание и удаление объектов системного уровня;</t>
  </si>
  <si>
    <t>ДКБ-ПКБ-05.10</t>
  </si>
  <si>
    <t>-        изменение параметров настроек виртуальных сетевых сегментов, реализованных средствами гипервизора;</t>
  </si>
  <si>
    <t>ДКБ-ПКБ-05.11</t>
  </si>
  <si>
    <t>-        создание/удаление, запуск/остановка ВМ;</t>
  </si>
  <si>
    <t>ДКБ-ПКБ-05.12</t>
  </si>
  <si>
    <t>-        создание, изменением, копированием, удалением базовых образов виртуальных машин;</t>
  </si>
  <si>
    <t>ДКБ-ПКБ-05.13</t>
  </si>
  <si>
    <t>-        копирование текущих образов ВМ;</t>
  </si>
  <si>
    <t>ДКБ-ПКБ-05.14</t>
  </si>
  <si>
    <t>-        изменение прав логического доступа к серверным компонентам виртуализации;</t>
  </si>
  <si>
    <t>ДКБ-ПКБ-05.15</t>
  </si>
  <si>
    <t>-        изменение параметров настроек серверных компонентов виртуализации;</t>
  </si>
  <si>
    <t>ДКБ-ПКБ-05.16</t>
  </si>
  <si>
    <t>-        запуск/остановка ПО серверных компонент виртуализации;</t>
  </si>
  <si>
    <t>ДКБ-ПКБ-05.17</t>
  </si>
  <si>
    <t>-        изменение параметров настроек средств защиты информации, используемых для реализации контроля доступа к серверным компонентам виртуализации и обеспечения защиты ВМ;</t>
  </si>
  <si>
    <t>ДКБ-ПКБ-05.18</t>
  </si>
  <si>
    <t>ДКБ-ПКБ-05.19</t>
  </si>
  <si>
    <t>ДКБ-ПКБ-05.20</t>
  </si>
  <si>
    <t>-        изменением параметров настроек серверных компонентов виртуализации;</t>
  </si>
  <si>
    <t>ДКБ-ПКБ-05.21</t>
  </si>
  <si>
    <t>-        запуск/остановка ПО серверных компонент виртуализации с изменением параметров настроек технических мер защиты информации, используемых для реализации контроля доступа к серверным компонентам виртуализации и обеспечения защиты ВМ.</t>
  </si>
  <si>
    <t>ДКБ-ПКБ-05.22</t>
  </si>
  <si>
    <t>-        факты запуска автоматизированных сценариев управления должны отражаться в аудите с обязательным указанием времени/даты запуска сценария, учетной записью, из-под которой запущен сценарий, идентификатора сценария, результатом выполнения сценария.</t>
  </si>
  <si>
    <t>ДКБ-ПКБ-06</t>
  </si>
  <si>
    <t>Не допускается передача в событиях аудита паролей пользователей, бизнес-данных и персональных данных.</t>
  </si>
  <si>
    <t>ДКБ-ПКБ-07</t>
  </si>
  <si>
    <t>При возникновении ошибок в событиях аудита должен фиксироваться полный текст сообщения об ошибке, включая системные сообщения.</t>
  </si>
  <si>
    <t>ДКБ-ПКБ-08</t>
  </si>
  <si>
    <t>Реализация возможности доступа к данным аудита должна предоставляться только уполномоченным пользователям и только через прикладной уровень.</t>
  </si>
  <si>
    <t>ДКБ-ПКБ-09</t>
  </si>
  <si>
    <t>Должна быть исключена возможность удаления информации о субъектах доступа, зарегистрированных в ПВ, в том числе заблокированных.</t>
  </si>
  <si>
    <t>По аналогии с AD</t>
  </si>
  <si>
    <t>ДКБ-ПКБ-10</t>
  </si>
  <si>
    <t>Средство виртуализации должно выполнять действия, являющиеся реакцией на события безопасности, самостоятельно или с применением сертифицированных средств защиты информации.</t>
  </si>
  <si>
    <t>ДКБ-ПКБ-11</t>
  </si>
  <si>
    <t>Регистрация событий безопасности в средстве виртуализации должна осуществляться с учетом разделов 3 - 6 ГОСТ Р 59548-2022 "Защита информации. Регистрация событий безопасности. Требования к регистрируемой информации".</t>
  </si>
  <si>
    <t>См. требование ФСТЭК</t>
  </si>
  <si>
    <t>ДКБ-ПКБ-12</t>
  </si>
  <si>
    <t>Журнал событий безопасности средства виртуализации должен быть доступен только для чтения. При исчерпании области памяти, отведенной под журнал событий безопасности средства виртуализации, должно осуществляться архивирование журнала с последующей очисткой высвобождаемой области памяти.</t>
  </si>
  <si>
    <t>ДКБ-ПКБ-13</t>
  </si>
  <si>
    <t>В средстве виртуализации для регистрируемых событий безопасности в каждой записи журнала событий безопасности дополнительно должно регистрироваться описание события безопасности, включающее сведения о его важности.</t>
  </si>
  <si>
    <t>ДКБ-ПКБ-14</t>
  </si>
  <si>
    <t>В средстве виртуализации должно обеспечиваться резервное копирование сведений о событиях безопасности</t>
  </si>
  <si>
    <t>ДКБ-ПКБ-15</t>
  </si>
  <si>
    <t>Средство виртуализации должно обеспечивать чтение записей о событиях безопасности, формирование отчетов с учетом заданных критериев отбора, выгрузку (экспорт) данных из журнала событий безопасности средства виртуализации.</t>
  </si>
  <si>
    <t>ДКБ-ПКБ-16</t>
  </si>
  <si>
    <t>ПВ должна обеспечивать технологическую совместимость с EDR-агентом BI.ZONE</t>
  </si>
  <si>
    <t>ДКБ-ЗСО-01</t>
  </si>
  <si>
    <t>Интеграция с системой управления секретами Банка (SecMan).</t>
  </si>
  <si>
    <t>https://jira.sberbank.ru/browse/CRPLTFRM-37128</t>
  </si>
  <si>
    <t>ДКБ-ЗСО-02</t>
  </si>
  <si>
    <t>Реализация поддержки функции Secure Boot для ОС создаваемых ВМ.</t>
  </si>
  <si>
    <t>ДКБ-ЗСО-03</t>
  </si>
  <si>
    <t>Реализация vTPM (virtual Trusted Platform Module). (ЦКЗ)</t>
  </si>
  <si>
    <t>ДКБ-ЗСО-04</t>
  </si>
  <si>
    <t>Программное обеспечение ПВ должно иметь цифровые артефакты для его однозначной идентификации в целях поиска и инвентаризации ручным или автоматизированным способом. (ЦКЗ)</t>
  </si>
  <si>
    <t>ДКБ-ЗСО-05</t>
  </si>
  <si>
    <t>Производитель должен выпускать следующие виды обновлений ПВ в целях устранения уязвимостей и обеспечения соответствия требованиям КБ: (ЦКЗ)        
– плановые обновления;
– внеплановые (оперативные) обновления.</t>
  </si>
  <si>
    <t>ДКБ-ЗСО-06</t>
  </si>
  <si>
    <t>Необходимо формировать SBOM</t>
  </si>
  <si>
    <t>ДКБ-ЗСО-07</t>
  </si>
  <si>
    <t>Производитель должен публиковать бюллетень безопасности ПВ, доступный в виде: (ЦКЗ)
– отдельных программных компонентов из состава ПВ, в которые внесены изменения с целью устранения уязвимостей, инструкций по их установке и настройке, а также информации, содержащей сведения о контрольных суммах всех файлов оперативного обновления;
– обновлений безопасности, представляющих собой файл с совокупностью программных компонентов из состава ПВ, в которые внесены изменения с целью устранения уязвимостей, а также информации, содержащей сведения о контрольных суммах всех файлов обновлений безопасности, указания по установке, настройке и особенностям использования ПВ с установленными обновлениями безопасности.</t>
  </si>
  <si>
    <t>148*</t>
  </si>
  <si>
    <t>ДКБ-ЗСО-08</t>
  </si>
  <si>
    <t>Бюллетень безопасности должен содержать: (ЦКЗ)
– список устраняемых уязвимостей;
– уровни критичности уязвимостей;
– ссылки на первоисточник информации об уязвимостях.</t>
  </si>
  <si>
    <t>149*</t>
  </si>
  <si>
    <t>ДКБ-ЗСО-09</t>
  </si>
  <si>
    <t>Включение SELinux или AppArmor в зависимости от используемой гипервизором операционной системы. (ЦКЗ)</t>
  </si>
  <si>
    <t>ДКБ-ЗСО-10</t>
  </si>
  <si>
    <t>Контейнеры управляющих сервисов не должны запускаться в привилегированном режиме.</t>
  </si>
  <si>
    <t>ДКБ-ЗСО-11</t>
  </si>
  <si>
    <t>Должно быть использовано надежное хранение данных внутренних сервисов.</t>
  </si>
  <si>
    <t>ДКБ-ЗСО-12</t>
  </si>
  <si>
    <t>Образы контейнеров должны использовать минимально необходимый набор программных компонентов для старта приложения. </t>
  </si>
  <si>
    <t>ДКБ-ЗСО-13</t>
  </si>
  <si>
    <t>Образы контейнеров должны находиться в централизованном репозитории Банка.</t>
  </si>
  <si>
    <t>ДКБ-ЗСО-14</t>
  </si>
  <si>
    <t>Диски виртуальных машин управляющих сервисов и их резервные копии должны быть зашифрованы.</t>
  </si>
  <si>
    <t>ДКБ-ЗСО-15</t>
  </si>
  <si>
    <t>Должна быть исключена возможность использовать wildcard-сертификаты в ПВ.</t>
  </si>
  <si>
    <t>ДКБ-ЗСО-16</t>
  </si>
  <si>
    <t>Система контейнеризации (при наличии) в ПВ должна соответствовать следующим требованиям:</t>
  </si>
  <si>
    <t>ДКБ-ЗСО-16.1</t>
  </si>
  <si>
    <t>Должна быть исключена возможность использовать Persistent Volumes (PV)/Persistent Volume Claim (PVC) и любые другие решения, требующие персистентного хранения данных на стороне платформы контейнеризации, в том числе hostPath.</t>
  </si>
  <si>
    <t>ДКБ-ЗСО-16.2</t>
  </si>
  <si>
    <t>Должна быть исключена возможность запускать контейнеры в привилегированном режиме.</t>
  </si>
  <si>
    <t>ДКБ-ЗСО-16.3</t>
  </si>
  <si>
    <t>Должна быть исключена возможность запускать контейнеры под привилегированными учетными записями, например, UID 0 (root), GID 0 (root).</t>
  </si>
  <si>
    <t>ДКБ-ЗСО-16.4</t>
  </si>
  <si>
    <t>Контейнеры должны поддерживать возможность запуска в средах с усиленными политиками безопасности (Pod Security Admission (K8s)/SCC(OS) restricted).</t>
  </si>
  <si>
    <t>ДКБ-ЗСО-16.5</t>
  </si>
  <si>
    <t>Каждый образ контейнера должен содержать минимальный набор библиотек для исполнения своего функционала.</t>
  </si>
  <si>
    <t>ДКБ-ЗСО-16.6</t>
  </si>
  <si>
    <t>Образ контейнера не должен содержать ключи, пароли, API токены и т.д. Для хранения данной информации должно использоваться централизованное хранилище секретов.</t>
  </si>
  <si>
    <t>ДКБ-ЗСО-16.7</t>
  </si>
  <si>
    <t>Внешние взаимодействия должны быть защищены по протоколу не ниже mTLS 1.2 В случае обработки информации К1/К2 все сетевые взаимодействия внутри неймспейса должны осуществляться с взаимной авторизацией, аутентификацией и шифрованием</t>
  </si>
  <si>
    <t>ДКБ-ЗСО-16.8</t>
  </si>
  <si>
    <t>Должна быть исключена возможность использовать средства user impersonation (возможность выполнять действия под другой учетной записью).</t>
  </si>
  <si>
    <t>ДКБ-ЗСО-16.9</t>
  </si>
  <si>
    <t>Должна быть реализована сетевая изоляция внутренних компонентов в платформе контейнеризации. </t>
  </si>
  <si>
    <t>ДКБ-ЗСО-16.10</t>
  </si>
  <si>
    <t>Система должна иметь возможность администрирования через средство класса PAM (Privileged Access Management).</t>
  </si>
  <si>
    <t>ДКБ-ЗСО-16.11</t>
  </si>
  <si>
    <t>На уровне приложения секреты не должны быть видны в открытом виде: в лог-файлах, именах запущенных процессов, переменных окружения и т.п. Не допускается изменение секретов приложением (изменять события аудита платформ). Не допускается хранить в конфигурационных файлах какие-либо секреты. Не допускается хранить скрипты в секретах. Не допускается хранить скрипты в конфигурационных файлах.</t>
  </si>
  <si>
    <t>ДКБ-ЗСО-16.12</t>
  </si>
  <si>
    <t>После извлечении образов контейнеров из централизованного репозитория должна осуществляться проверка их целостности по алгоритму не ниже SHA256.</t>
  </si>
  <si>
    <t>Требования к секретам</t>
  </si>
  <si>
    <t> </t>
  </si>
  <si>
    <t>ДКБ-SEC-01</t>
  </si>
  <si>
    <t>Должна быть реализована возможность автоматизированной ротации артефактов авторизации (секреты, токены expiration, projected).</t>
  </si>
  <si>
    <t>ДКБ-SEC-02</t>
  </si>
  <si>
    <t>Средство виртуализации должно обеспечивать хранение аутентификационной информации пользователя средства виртуализации в защищенном формате или в защищенном хранилище.</t>
  </si>
  <si>
    <t>ДКБ-SEC-03</t>
  </si>
  <si>
    <t>Пароль пользователя средства виртуализации должен содержать не менее 8 символов при алфавите пароля не менее 70 символов. Максимальное количество неуспешных попыток аутентификации (ввода неправильного пароля) до блокировки – 4</t>
  </si>
  <si>
    <t>Требования к защите интерфейсов</t>
  </si>
  <si>
    <t>ДКБ-ИНТ-01</t>
  </si>
  <si>
    <t>Использование любых API (портов) и интерфейсов, входящих в состав продукта, должны быть описаны. Неиспользуемые API и интерфейсы должны быть заблокированы.</t>
  </si>
  <si>
    <t>Отдельные требования по безопасности информации к средствам виртуализации (Приказ ФСТЭК от 27.10.2022 №187)</t>
  </si>
  <si>
    <t>ДКБ-ФСТЭК-01</t>
  </si>
  <si>
    <t>Средства виртуализации, соответствующие 4 классу защиты, применяются в значимых объектах критической информационной инфраструктуры 1 категории значимости, в государственных информационных системах 1 класса защищенности, в автоматизированных системах управления производственными и технологическими процессами 1 класса защищенности, в информационных системах персональных данных при необходимости обеспечения 1 уровня защищенности персональных данных, в информационных системах общего пользования II класса[6].</t>
  </si>
  <si>
    <t>ДКБ-ФСТЭК-02</t>
  </si>
  <si>
    <t>Средства виртуализации должны соответствовать 4 уровню доверия</t>
  </si>
  <si>
    <t>ДКБ-ФСТЭК-03</t>
  </si>
  <si>
    <t>Средство виртуализации должно функционировать в среде хостовой операционной системы, соответствующей 4 классу защиты и 4 уровню доверия.</t>
  </si>
  <si>
    <t>ДКБ-ФСТЭК-04</t>
  </si>
  <si>
    <t>Средство виртуализации должно блокировать запуск виртуальной машины при выявлении нарушения целостности конфигурации виртуального оборудования данной виртуальной машины.</t>
  </si>
  <si>
    <t>ДКБ-ФСТЭК-05</t>
  </si>
  <si>
    <t>Средство виртуализации должно блокировать запуск виртуальной машины при выявлении нарушения целостности файлов виртуальной базовой системы ввода-вывода (первичного загрузчика виртуальной машины) и (или) исполняемых файлов гостевой операционной системы.</t>
  </si>
  <si>
    <t>ДКБ-ФСТЭК-06</t>
  </si>
  <si>
    <t>Средство виртуализации должно контролировать целостность в процессе загрузки и динамически в процессе функционирования средства виртуализации объектов контроля самостоятельно или с применением сертифицированных хостовой операционной системы или средства доверенной загрузки</t>
  </si>
  <si>
    <t>ДКБ-ФСТЭК-07</t>
  </si>
  <si>
    <t>Средство виртуализации должно информировать администратора безопасности средства виртуализации о нарушении целостности объектов контроля</t>
  </si>
  <si>
    <t>ДКБ-ФСТЭК-08</t>
  </si>
  <si>
    <t>Средство виртуализации должно контролировать целостность конфигурации виртуального оборудования виртуальных машин</t>
  </si>
  <si>
    <t>ДКБ-ФСТЭК-09</t>
  </si>
  <si>
    <t>Средство виртуализации должно контролировать целостность исполняемых файлов и параметров настройки средства виртуализации</t>
  </si>
  <si>
    <t>ДКБ-ФСТЭК-10</t>
  </si>
  <si>
    <t>В средстве виртуализации должно обеспечиваться резервное копирование образов виртуальных машин и конфигурации виртуального оборудования виртуальных машин самостоятельно или с применением хостовой операционной системы или сертифицированных средств резервного копирования</t>
  </si>
  <si>
    <t>ДКБ-ФСТЭК-11</t>
  </si>
  <si>
    <t>В средстве виртуализации должно обеспечиваться резервное копирование параметров настройки средства виртуализации</t>
  </si>
  <si>
    <t>ДКБ-ФСТЭК-12</t>
  </si>
  <si>
    <t>Средство виртуализации должно осуществлять контроль за запуском компонентов программного обеспечения, обеспечивающий:
- выявление и блокировку запуска компонентов программного обеспечения, целостность которого нарушена;
- блокировку запуска компонентов программного обеспечения, не прошедших аутентификацию с использованием свидетельств подлинности модулей (в том числе цифровых сигнатур производителя или иных свидетельств подлинности модулей).</t>
  </si>
  <si>
    <t>ДКБ-ФСТЭК-13</t>
  </si>
  <si>
    <t>Средство виртуализации должно очищать остаточную информацию в памяти средства вычислительной техники при ее освобождении (распределении) или блокирование доступа субъектов к остаточной информации</t>
  </si>
  <si>
    <t>ДКБ-ФСТЭК-14</t>
  </si>
  <si>
    <t>Средство виртуализации должно удалять объекты файловой системы, используемые средством виртуализации, путем перезаписи уничтожаемых (стираемых) объектов файловой системы случайной битовой последовательностью</t>
  </si>
  <si>
    <t>ДКБ-ФСТЭК-15</t>
  </si>
  <si>
    <t>Средство виртуализации должно размещать код средства виртуализации в области памяти, не доступной одновременно для записи и исполнения</t>
  </si>
  <si>
    <t>ДКБ-ФСТЭК-16</t>
  </si>
  <si>
    <t>Средство виртуализации должно изолировать области памяти виртуальных машин.</t>
  </si>
  <si>
    <t>ДКБ-ФСТЭК-17</t>
  </si>
  <si>
    <t>Средство виртуализации должно создавать, модифицировать, хранить, получать и удалять образы виртуальных машин в информационной (автоматизированной) системе</t>
  </si>
  <si>
    <t>ДКБ-ФСТЭК-18</t>
  </si>
  <si>
    <t>Средство виртуализации должно обеспечивать управление размещением и перемещением виртуальных машин и их образов с возможностью сохранения их конфигурации и настроек.</t>
  </si>
  <si>
    <t>ДКБ-ФСТЭК-19</t>
  </si>
  <si>
    <t>Должна быть обеспечена антивирусная защита на уровне хостовой ОС ПВ.</t>
  </si>
  <si>
    <t>Формулировка</t>
  </si>
  <si>
    <t>Реализовано/описание</t>
  </si>
  <si>
    <t>Да (оставить ток учетки сервисов)</t>
  </si>
  <si>
    <t>Да - настроить учетки</t>
  </si>
  <si>
    <t>PAM - только в horizon</t>
  </si>
  <si>
    <t>Да (Не понятно о чем речь. РК можно создавать внутренним механизмом cinder-backup, а можно внешней СРК. Если речь про внутренний механизм, то подтверждаю)</t>
  </si>
  <si>
    <t>Да, horizone/keystone</t>
  </si>
  <si>
    <t>Да, horizone</t>
  </si>
  <si>
    <t>Да, настройка horizon</t>
  </si>
  <si>
    <r>
      <t xml:space="preserve">ФСТЭК </t>
    </r>
    <r>
      <rPr>
        <sz val="11"/>
        <color theme="1"/>
        <rFont val="Liberation Sans"/>
        <scheme val="minor"/>
      </rPr>
      <t>(но требование поддерживается)</t>
    </r>
  </si>
  <si>
    <r>
      <t>ФСТЭК</t>
    </r>
    <r>
      <rPr>
        <sz val="11"/>
        <color theme="1"/>
        <rFont val="Liberation Sans"/>
        <scheme val="minor"/>
      </rPr>
      <t xml:space="preserve"> (поддержать несложно, но требуется настройка)</t>
    </r>
  </si>
  <si>
    <t>Да, horizon</t>
  </si>
  <si>
    <t>Да, все сервисы ходят через keystone</t>
  </si>
  <si>
    <t>Сертификаты, должны быть выпущены УЦ банка. Должен быть реализован механизм проверки их по спискам отзыва (OCSP/CRL)</t>
  </si>
  <si>
    <t>Да, интеграция с Vault (SecMan)
(дублируется)</t>
  </si>
  <si>
    <t>да, через security group в neutron</t>
  </si>
  <si>
    <t>При трактовке "хост" как гипервизорной ноды — не поддерживается средствами OpenStack/Kolla-Ansible и требует внешних механизмов контроля сетевого доступа. При трактовке "хост" как ВМ — поддерживается штатными средствами Neutron Security Groups.</t>
  </si>
  <si>
    <t>Частично поддерживается. Neutron Security Groups позволяют объединять ВМ в группы и разграничивать доступ. Вложенные и временные группы штатными средствами OpenStack не поддерживаются и требуют дополнительной реализации.</t>
  </si>
  <si>
    <t>Да
если под понятием узел имеется в виду ВМ, то в security group можно разрешить сетевое соединение для хостов, принадлежащих другой security group) 
если под понятием узел имеется в виду нода, то можно ограничить на уровне ОС/сетей еще до openstack. VLAN ID, firewall.</t>
  </si>
  <si>
    <t>Да, реализуется через security groups</t>
  </si>
  <si>
    <r>
      <t>Да</t>
    </r>
    <r>
      <rPr>
        <sz val="11"/>
        <color theme="1"/>
        <rFont val="Liberation Sans"/>
        <scheme val="minor"/>
      </rPr>
      <t xml:space="preserve"> если есть коннектор для этих систем. В Openstack открытый API.</t>
    </r>
  </si>
  <si>
    <r>
      <t>Да,</t>
    </r>
    <r>
      <rPr>
        <sz val="11"/>
        <color theme="1"/>
        <rFont val="Liberation Sans"/>
        <scheme val="minor"/>
      </rPr>
      <t xml:space="preserve"> но требует настройки</t>
    </r>
  </si>
  <si>
    <t>Должны быть описаны все порты используемы для взаимодействия внутренних компонентов и порты внешних подключений (административный доступ) для настроек файервола</t>
  </si>
  <si>
    <t>Средство виртуализации должно выполнять действия, являющиеся реакцией на события безопасности самостоятельно или с применением сертифицированных средств защиты информации.</t>
  </si>
  <si>
    <r>
      <t>ФСТЭК</t>
    </r>
    <r>
      <rPr>
        <sz val="11"/>
        <color theme="1"/>
        <rFont val="Liberation Sans"/>
        <scheme val="minor"/>
      </rPr>
      <t>. Поддерживается частично</t>
    </r>
  </si>
  <si>
    <t>Да, интеграция с Vault (SecMan)</t>
  </si>
  <si>
    <t>да, требуется настройка через колла</t>
  </si>
  <si>
    <t>да - хеш суммы</t>
  </si>
  <si>
    <r>
      <t xml:space="preserve">Производитель должен выпускать следующие виды обновлений ПВ в целях устранения уязвимостей и обеспечения соответствия требованиям КБ: (ЦКЗ)        </t>
    </r>
    <r>
      <rPr>
        <strike/>
        <sz val="11"/>
        <color theme="1"/>
        <rFont val="Liberation Sans"/>
        <scheme val="minor"/>
      </rPr>
      <t>плановые обновления;</t>
    </r>
    <r>
      <rPr>
        <sz val="11"/>
        <color theme="1"/>
        <rFont val="Liberation Sans"/>
        <scheme val="minor"/>
      </rPr>
      <t>        внеплановые (оперативные) обновления.</t>
    </r>
  </si>
  <si>
    <t>да</t>
  </si>
  <si>
    <t>да/планируется</t>
  </si>
  <si>
    <t>Передаются через HYRV, могут делать podman push.</t>
  </si>
  <si>
    <t>secman</t>
  </si>
  <si>
    <r>
      <rPr>
        <b/>
        <sz val="10"/>
        <rFont val="Liberation Serif"/>
      </rPr>
      <t>№ требования</t>
    </r>
  </si>
  <si>
    <r>
      <rPr>
        <b/>
        <sz val="10"/>
        <rFont val="Liberation Serif"/>
      </rPr>
      <t>Требование</t>
    </r>
  </si>
  <si>
    <t>Проверка</t>
  </si>
  <si>
    <t>Не должно быть совмещения ролей администратора ПВ с любыми другими ролями, наследования и агрегирования прав должно быть согласовано с УЭК.</t>
  </si>
  <si>
    <t>Парольная информация (ключи, секреты, пароли и т.д)  должна храниться в Secman.</t>
  </si>
  <si>
    <t>Роль разработчика виртуальной машины должна позволять:
- создавать виртуальные машины;
- изменять конфигурации виртуальных машин.</t>
  </si>
  <si>
    <t>Роль администратора средства виртуализации должна позволять:
- создавать учетные записи пользователей средства виртуализации;
- управлять учетными записями пользователей средства виртуализации;
- назначать права доступа пользователям средства виртуализации к виртуальным машинам;
- создавать и удалять виртуальное оборудование средства виртуализации;
- изменять конфигурации виртуального оборудования средства виртуализации;
- управлять доступом виртуальных машин к физическому и виртуальному оборудованию;
- управлять квотами доступа виртуальных машин к физическому и виртуальному оборудованию;
- управлять перемещением виртуальных машин;
- удалять виртуальные машины;
- запускать и останавливать виртуальные машины;
- создавать снимки состояния виртуальных машин, включающих файл конфигурации виртуальной машины, образа виртуальной машины и образа памяти виртуальной машины.</t>
  </si>
  <si>
    <t>Производитель должен выпускать следующие виды обновлений ПВ в целях устранения уязвимостей и обеспечения соответствия требованиям КБ (ЦКЗ):
-        плановые обновления; 
-        внеплановые (оперативные) обновления.</t>
  </si>
  <si>
    <t>Производитель должен публиковать бюллетень безопасности ПВ, доступный в виде: (ЦКЗ)-        инструкций и указаний по настройке и особенностям использования ПВ, содержащих сведения о компенсирующих мерах или ограничениях по применению ПВ при ее использовании;-        отдельных программных компонентов из состава ПВ, в которые внесены изменения с целью устранения уязвимостей, инструкций по их установке и настройке, а также информации, содержащей сведения о контрольных суммах всех файлов оперативного обновления;-        обновлений безопасности, представляющих собой файл с совокупностью программных компонентов из состава ПВ, в которые внесены изменения с целью устранения уязвимостей, а также информации, содержащей сведения о контрольных суммах всех файлов обновлений безопасности, указания по установке, настройке и особенностям использования ПВ с установленными обновлениями безопасности.</t>
  </si>
  <si>
    <t>Бюллетень безопасности должен содержать (ЦКЗ):
-        даты публикации уязвимости;
-        список устраняемых уязвимостей;
-        описание уязвимостей;
-        уровни критичности уязвимостей;
-        версии ПО, к которым уязвимость применима и в которых уязвимость устранена;
-        ссылки на первоисточник информации об уязвимостях.</t>
  </si>
  <si>
    <t>Образ контейнера не должен содержать ключи, пароли, API токены и т.д.Для хранения данной информации должно использоваться централизованное хранилище секретов.</t>
  </si>
  <si>
    <t>Должна быть реализована сетевая изоляция внутренних компонентов в платформе контейнеризации. 
Изоляция от чего?</t>
  </si>
  <si>
    <t>На уровне приложения секреты не должны быть видны в открытом виде: в лог-файлах, именах запущенных процессов, переменных окружения и т.п.Не допускается изменение секретов приложением (изменять события аудита платформ).Не допускается хранить в конфигурационных файлах какие-либо секреты.Не допускается хранить скрипты в секретах.Не допускается хранить скрипты в конфигурационных файлах.</t>
  </si>
  <si>
    <t>В 1 релизе?</t>
  </si>
  <si>
    <t>За исключением нулевых секретов</t>
  </si>
  <si>
    <t>Роль разработчика виртуальной машины должна позволять:
 создавать виртуальные машины;
- изменять конфигурации виртуальных машин.</t>
  </si>
  <si>
    <t>Роль администратора безопасности средства виртуализации должна позволять:- иметь доступ на чтение к журналу событий безопасности средства виртуализации;- формировать отчеты с учетом заданных критериев отбора, выгрузку (экспорт) данных из журнала событий безопасности средства виртуализации.</t>
  </si>
  <si>
    <t>Роль администратора средства виртуализации должна позволять:
- создавать учетные записи пользователей средства виртуализации;
- управлять учетными записями пользователей средства виртуализации;
- назначать права доступа пользователям средства виртуализации к виртуальным машинам;
- создавать и удалять виртуальное оборудование средства виртуализации;
- изменять конфигурации виртуального оборудования средства виртуализации;
 управлять доступом виртуальных машин к физическому и виртуальному оборудованию;
- управлять квотами доступа виртуальных машин к физическому и виртуальному оборудованию;
 управлять перемещением виртуальных машин;
- удалять виртуальные машины;
 запускать и останавливать виртуальные машины;
- создавать снимки состояния виртуальных машин, включающих файл конфигурации виртуальной машины, образа виртуальной машины и образа памяти виртуальной машины.</t>
  </si>
  <si>
    <t>Требование к инсталляции</t>
  </si>
  <si>
    <t>Вопрос к формулировке требования</t>
  </si>
  <si>
    <t>Производитель должен выпускать следующие виды обновлений ПВ в целях устранения уязвимостей и обеспечения соответствия требованиям КБ: (ЦКЗ)        плановые обновления;        внеплановые (оперативные) обновления.</t>
  </si>
  <si>
    <t>Производитель должен публиковать бюллетень безопасности ПВ, доступный в виде: (ЦКЗ) –     отдельных программных компонентов из состава ПВ, в которые внесены изменения с целью устранения уязвимостей, инструкций по их установке и настройке, а также информации, содержащей сведения о контрольных суммах всех файлов оперативного обновления;-        обновлений безопасности, представляющих собой файл с совокупностью программных компонентов из состава ПВ, в которые внесены изменения с целью устранения уязвимостей, а также информации, содержащей сведения о контрольных суммах всех файлов обновлений безопасности, указания по установке, настройке и особенностям использования ПВ с установленными обновлениями безопасности.</t>
  </si>
  <si>
    <t>Бюллетень безопасности должен содержать: (ЦКЗ)      список устраняемых уязвимостей; – уровни критичности уязвимостей; –       ссылки на первоисточник информации об уязвимостях.</t>
  </si>
  <si>
    <t>Внешние взаимодействия должны быть защищены по протоколу не ниже mTLS 1.2В случае обработки информации К1/К2 все сетевые взаимодействия внутри неймспейса должны осуществляться с взаимной авторизацией, аутентификацией и шифрованием</t>
  </si>
  <si>
    <t>Средство виртуализации должно осуществлять контроль за запуском компонентов программного обеспечения, обеспечивающий:- выявление и блокировку запуска компонентов программного обеспечения, целостность которого нарушена;- блокировку запуска компонентов программного обеспечения, не прошедших аутентификацию с использованием свидетельств подлинности модулей (в том числе цифровых сигнатур производителя или иных свидетельств подлинности модулей).</t>
  </si>
  <si>
    <t>№ П/П</t>
  </si>
  <si>
    <t>Код исходного требования</t>
  </si>
  <si>
    <t>Ролевая модель должна соответствовать принципу наименьших привилегий. Выдаваться должны только те права и полномочия в системе, которые необходимы для выполнения конкретной задачи</t>
  </si>
  <si>
    <t>Не должно быть совмещения ролей администратора ПВ с любыми другими ролями, наследования и агрегирования прав должно быть согласовано с ДКБ.</t>
  </si>
  <si>
    <t>Любой доступ, включая доступ к данным, а также его актуализация, должен осуществляться на основании ролевых моделей.</t>
  </si>
  <si>
    <t>Не должно быть совмещения ролей администратора ПВ с любыми другими ролями.</t>
  </si>
  <si>
    <t>Дубль требования 2</t>
  </si>
  <si>
    <t>Запуск любых скриптов администраторами должен производиться только через PAM под привилегированной учетной записью.</t>
  </si>
  <si>
    <t>Запрет использования локальных учетных записей в системе. Исключения должны быть явно согласованы с ДКБ.</t>
  </si>
  <si>
    <t>ДКБ-РМ-06*</t>
  </si>
  <si>
    <t>Сервисы Openstack контроллеров undercloud/deployer должны иметь ролевую модель отличную от хостовой ОС. Для ролевой модели должна быть разработана матрица доступа и должна соответствовать принципу несовместимости ролей. Должен соблюдаться принцип минимизации полномочий.</t>
  </si>
  <si>
    <t>Не допускается использование локальной ролевой модели.</t>
  </si>
  <si>
    <t>Ролевая модель администратора по умолчанию должна быть выключена.</t>
  </si>
  <si>
    <t>Должна быть исключен доступ к паролям и другим конфиденциальным данным пользователей системы.</t>
  </si>
  <si>
    <t>Реализована функция выбора одной из политик аутентификации администратора в системе управления виртуальной инфраструктурой:
- двухфакторная аутентификация (логин/пароль и сертификат);
- двухфакторная аутентификация (логин/пароль и одноразовый код).</t>
  </si>
  <si>
    <t>Прямого доступа пользователя к управляющим компонентам ВМ (диспетчер подключений) быть не должно, только через консоль управления или API гипервизора</t>
  </si>
  <si>
    <t>Реализация управления политиками доступа к блочным и файловым хранилищам.</t>
  </si>
  <si>
    <t>Системы-участники (включая части системы, шлюзы, платформенные сервисы и т.д.) при сетевых взаимодействиях должны обеспечивать строгую аутентификацию и авторизацию друг друга с помощью криптостойких алгоритмов шифрования, соответствующих комплаенсу банка. Сетевые соединения с не аутентифицированными и/или неавторизованными сторонами должен быть исключен.</t>
  </si>
  <si>
    <t>Доступ к UI должен быть реализован с использованием протокола https c версией TLS не ниже 1.2.</t>
  </si>
  <si>
    <t>Соответствие компонентов платформы виртуализации правилам сетевого зонирования Банка.</t>
  </si>
  <si>
    <t>Полноценное функционирование компонентов платформы виртуализации без использования протокола NTLM.</t>
  </si>
  <si>
    <t>Решение должно поддерживать механизмы обеспечения катастрофоустойчивости.</t>
  </si>
  <si>
    <t>Это требование ТН, но не КБ</t>
  </si>
  <si>
    <t>Управляющие сервисы должны быть изолированы от хостовой сети.</t>
  </si>
  <si>
    <t>Для взаимодействия сервисов должны использоваться виртуальные сети на уровне виртуализации и контейнеризации (если применимо).</t>
  </si>
  <si>
    <t>Виртуальные сети должны быть объедены в группы по схожей функциональности.</t>
  </si>
  <si>
    <t>Должны быть описаны все порты используемы для взаимодействия внутренних компонентов и порты внешних подключений (административный доступ) для настроек HBFW, интегрированного в ПВ.</t>
  </si>
  <si>
    <t>ДКБ-С-32*</t>
  </si>
  <si>
    <t>Каждое событие аудита обязательно должно содержать следующий минимальный набор атрибутов:
- дата и время (с точностью до секунды);
- идентификатор пользователя;
- идентификатор действия, которое привело к возникновению события;
- наименование события и его уникальный идентификатор;
- результат (успешный/неуспешный);
- старое и новое значение (для событий изменения объекта);
- идентификатор (адрес) системного компонента (компьютера), используемого для доступа к системе;
- идентификатор (адрес) или название данных, системного компонента или ресурса, на которые повлияло указанное событие.</t>
  </si>
  <si>
    <t>ДКБ-ПКБ-04
ДКБ-ПКБ-04.1
ДКБ-ПКБ-04.2
ДКБ-ПКБ-04.3
ДКБ-ПКБ-04.4
ДКБ-ПКБ-04.5
ДКБ-ПКБ-04.6
ДКБ-ПКБ-04.7
ДКБ-ПКБ-04.8</t>
  </si>
  <si>
    <t>Список событий аудита должен включать:
- создание/изменение/удаления пользователей и их прав доступа администратором;
- аутентификация, авторизация пользователей ВМ и пользователей Системы (успешная/неуспешная);
- изменение параметров и системных настроек системы;
- действия администраторов системы;
- доступ к компонентам сервиса/системы;
- случаи недоступности компонентов сервисов/систем, включая централизованный сервис аудита;
- использование и изменение механизмов идентификации и аутентификации;
- операции с секретами;
- создание и удаление объектов системного уровня;
- изменение параметров настроек виртуальных сетевых сегментов, реализованных средствами гипервизора;
- создание/удаление, запуск/остановка ВМ;
- создание, изменением, копированием, удалением базовых образов виртуальных машин;
- копирование текущих образов ВМ;
- изменение прав логического доступа к серверным компонентам виртуализации;
- изменение параметров настроек серверных компонентов виртуализации;
- запуск/остановка ПО серверных компонент виртуализации;
- изменение параметров настроек средств защиты информации, используемых для реализации контроля доступа к серверным компонентам виртуализации и обеспечения защиты ВМ;
- копирование текущих образов ВМ;
- изменение прав логического доступа к серверным компонентам виртуализации;
- изменением параметров настроек серверных компонентов виртуализации;
- запуск/остановка ПО серверных компонент виртуализации с изменением параметров настроек технических мер защиты информации, используемых для реализации контроля доступа к серверным компонентам виртуализации и обеспечения защиты ВМ;
- факты запуска автоматизированных сценариев управления должны отражаться в аудите с обязательным указанием времени/даты запуска сценария, учетной записью, из-под которой запущен сценарий, идентификатора сценария, результатом выполнения сценария.</t>
  </si>
  <si>
    <t>ДКБ-ПКБ-05
ДКБ-ПКБ-05.1
ДКБ-ПКБ-05.2
ДКБ-ПКБ-05.3
ДКБ-ПКБ-05.4
ДКБ-ПКБ-05.5
ДКБ-ПКБ-05.6
ДКБ-ПКБ-05.7
ДКБ-ПКБ-05.8
ДКБ-ПКБ-05.9
ДКБ-ПКБ-05.10
ДКБ-ПКБ-05.11
ДКБ-ПКБ-05.12
ДКБ-ПКБ-05.13
ДКБ-ПКБ-05.14
ДКБ-ПКБ-05.15
ДКБ-ПКБ-05.16
ДКБ-ПКБ-05.17
ДКБ-ПКБ-05.18
ДКБ-ПКБ-05.19
ДКБ-ПКБ-05.20
ДКБ-ПКБ-05.21
ДКБ-ПКБ-05.22</t>
  </si>
  <si>
    <t>Административные операции в undercloud должны передаваться в ПКБ. Должны быть разработаны соответствующие use cases.</t>
  </si>
  <si>
    <t>Добавление новых образов для запуска ВМ или контейнеров должны аудироваться и контролироваться с использованием второй руки.</t>
  </si>
  <si>
    <t>Система должна работать на платформах ARM или x86/x64 (или быть не зависимой от архитектуры платформы) с возможностью использования виртуализации.</t>
  </si>
  <si>
    <t>Реализация возможности инвентаризации ВМ (минимально: создание / удаление за период).</t>
  </si>
  <si>
    <t>Реализация vTPM (virtual Trusted Platform Module).</t>
  </si>
  <si>
    <t>Реализация исключения (блокировки возможности) отключения средств синхронизации времени.</t>
  </si>
  <si>
    <t>Реализация поддержка пулов (логическая единица доступа) ВМ, объединение ВМ различных конфигураций в один пул.</t>
  </si>
  <si>
    <t>Программное обеспечение ПВ должно иметь цифровые артефакты для его однозначной идентификации в целях поиска и инвентаризации ручным или автоматизированным способом.</t>
  </si>
  <si>
    <t>Резервное копирование конфигураций компонентов платформы виртуализации в соответствии с процессами Банка.</t>
  </si>
  <si>
    <t>Дубль требования 104</t>
  </si>
  <si>
    <t>Производитель должен выпускать следующие виды обновлений ПВ в целях устранения уязвимостей и обеспечения соответствия требованиям КБ:
- плановые обновления;
- внеплановые (оперативные) обновления.</t>
  </si>
  <si>
    <t>Включение SELinux или AppArmor в зависимости от используемой гипервизором операционной системы.</t>
  </si>
  <si>
    <t>Решение должно поддерживать возможность обеспечения высокой доступности в режиме Active-Active или Active-Passive по всем ключевым компонентам АС. Переключение на резервный компонент должно осуществляться в автоматическом режиме.</t>
  </si>
  <si>
    <t>Образы контейнеров должны использовать минимально необходимый набор программных компонентов для старта приложения.</t>
  </si>
  <si>
    <t>Не допускается использование файловой системы и устройств хоста гипервизоров.</t>
  </si>
  <si>
    <t>Настройки операционной системы в составе ПВ должны выполняться в соответствии с методическим документом ФСТЭК России «Рекомендации по безопасной настройке операционных систем Linux» либо предоставить сертификат ФСТЭК для хостовой ОС ПВ.Операционная система в составе ПВ должна иметь сертификат ФСТЭК России, подтверждающий соответствие требованиям:
- к операционным системам не ниже, чем по 4 классу защиты в соответствии с информационным сообщением ФСТЭК от 18.10.2016 № 240/24/4893;
- к средствам виртуализации не ниже, чем по 4 классу защиты в соответствии с информационным сообщением ФСТЭК от 20.01.2023 № 240/24/169;
- к средствам контейнеризации (при наличии) не ниже, чем по 4 классу защиты в соответствии с требованиями по безопасности информации к средствам контейнеризации (выписка), утв. ФСТЭК России приказом ФСТЭК России от 4 июля 2022 г. N 118.</t>
  </si>
  <si>
    <t>Система контейнеризации (при наличии) в ПВ должна соответствовать следующим требованиям:
- должна быть исключена возможность использовать Persistent Volumes (PV)/Persistent Volume Claim (PVC) и любые другие решения, требующие персистентного хранения данных на стороне платформы контейнеризации, в том числе hostPath;
- должна быть исключена возможность запускать контейнеры в привилегированном режиме;
- должна быть исключена возможность запускать контейнеры под привилегированными учетными записями, например, UID 0 (root), GID 0 (root);
- контейнеры должны поддерживать возможность запуска в средах с усиленными политиками безопасности (Pod Security Admission (K8s)/SCC(OS) restricted);
- каждый образ контейнера должен содержать минимальный набор библиотек для исполнения своего функционала;
- образ контейнера не должен содержать ключи, пароли, API токены и т.д. Для хранения данной информации должно использоваться централизованное хранилище секретов;
- внешние взаимодействия должны быть защищены по протоколу не ниже mTLS 1.2. В случае обработки информации К1/К2 все сетевые взаимодействия внутри неймспейса должны осуществляться с взаимной авторизацией, аутентификацией и шифрованием;
- система должна иметь возможность администрирования через средство класса PAM (Privileged Access Management);
- должна быть исключена возможность использовать wildcard-сертификаты в ПВ;
- на уровне приложения секреты не должны быть видны в открытом виде: в лог-файлах, именах запущенных процессов, переменных окружения и т.п.; не допускается изменение секретов приложением (изменять события аудита платформ); не допускается хранить в конфигурационных файлах какие-либо секреты; не допускается хранить скрипты в секретах; не допускается хранить скрипты в конфигурационных файлах;
- после извлечении образов контейнеров из централизованного репозитория должна осуществляться проверка их целостности по алгоритму не ниже SHA256.</t>
  </si>
  <si>
    <t>ДКБ-ЗСО-15
ДКБ-ЗСО-16
ДКБ-ЗСО-16.1
ДКБ-ЗСО-16.2
ДКБ-ЗСО-16.3
ДКБ-ЗСО-16.4
ДКБ-ЗСО-16.5
ДКБ-ЗСО-16.6
ДКБ-ЗСО-16.7
ДКБ-ЗСО-16.10
ДКБ-ЗСО-16.11
ДКБ-ЗСО-16.12</t>
  </si>
  <si>
    <t>Агрегация данных из нескольких инсталляций компонент платформы виртуализации в одной консоли.</t>
  </si>
  <si>
    <t>Реализация управления несколькими инсталляциями компонент платформы виртуализации из одной консоли.</t>
  </si>
  <si>
    <t>Размещение интерфейсов управления компонентами ПВ в отдельной сетевой зоне.</t>
  </si>
  <si>
    <t>Программное обеспечение ПВ и уязвимости в нем должны обнаруживаться сканерами уязвимостей, используемыми в банке на момент внедрения ПВ.</t>
  </si>
  <si>
    <t>Наличие технической и эксплуатационной документации на продукт.</t>
  </si>
  <si>
    <t>Все образы должны быть собраны на сборочных контейнерах Банка в соответствии с производственными процессами банка.</t>
  </si>
  <si>
    <t>Любые изменения в функциональности сервисов или в конфигурациях сервисов облака должны проходить релизный цикл и фиксировать в протоколе ПСИ.</t>
  </si>
  <si>
    <t>Соответствие требованиям ФСТЭК ЗОКИИ</t>
  </si>
  <si>
    <t>Дубль составного требования 82</t>
  </si>
  <si>
    <t>Должно быть предоставлено описание процедуры сканирования ПВ на уязвимости при разработке и в ходе эксплуатации ПО.</t>
  </si>
  <si>
    <t>Роль разработчика виртуальной машины должна позволять:
- создавать виртуальные машины;
- изменять конфигурации виртуальных машин.</t>
  </si>
  <si>
    <t>Роль администратора средства виртуализации должна позволять:
- создавать учетные записи пользователей средства виртуализации;
- управлять учетными записями пользователей средства виртуализации;
- назначать права доступа пользователям средства виртуализации к виртуальным машинам;
- создавать и удалять виртуальное оборудование средства виртуализации;
- изменять конфигурации виртуального оборудования средства виртуализации;
- управлять доступом виртуальных машин к физическому и виртуальному оборудованию;
- управлять квотами доступа виртуальных машин к физическому и виртуальному оборудованию;
- управлять перемещением виртуальных машин;
- удалять виртуальные машины;
- запускать и останавливать виртуальные машины;
- создавать снимки состояния виртуальных машин, включающих файл конфигурации виртуальной машины, образа виртуальной машины и образа памяти виртуальной машины.</t>
  </si>
  <si>
    <t>Производитель должен публиковать бюллетень безопасности ПВ, доступный в виде:
- инструкций и указаний по настройке и особенностям использования ПВ, содержащих сведения о компенсирующих мерах или ограничениях по применению ПВ при ее использовании;
- отдельных программных компонентов из состава ПВ, в которые внесены изменения с целью устранения уязвимостей, инструкций по их установке и настройке, а также информации, содержащей сведения о контрольных суммах всех файлов оперативного обновления;
- обновлений безопасности, представляющих собой файл с совокупностью программных компонентов из состава ПВ, в которые внесены изменения с целью устранения уязвимостей, а также информации, содержащей сведения о контрольных суммах всех файлов обновлений безопасности, указания по установке, настройке и особенностям использования ПВ с установленными обновлениями безопасности.</t>
  </si>
  <si>
    <t>ДКБ-ЗСО-07*</t>
  </si>
  <si>
    <t>Бюллетень безопасности должен содержать:
- даты публикации уязвимости;
- список устраняемых уязвимостей;
- описание уязвимостей;
- уровни критичности уязвимостей;
- версии ПО, к которым уязвимость применима и в которых уязвимость устранена;
- ссылки на первоисточник информации об уязвимостях.</t>
  </si>
  <si>
    <t>ДКБ-ЗСО-08*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</si>
</sst>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Liberation Sans"/>
      <scheme val="minor"/>
    </font>
    <font>
      <b/>
      <sz val="11"/>
      <color theme="1"/>
      <name val="Liberation Sans"/>
      <scheme val="minor"/>
    </font>
    <font>
      <b/>
      <sz val="10.5"/>
      <color rgb="FF172B4D"/>
      <name val="Liberation Sans"/>
    </font>
    <font>
      <sz val="10.5"/>
      <color rgb="FF172B4D"/>
      <name val="Liberation Sans"/>
    </font>
    <font>
      <u/>
      <sz val="11"/>
      <color theme="10"/>
      <name val="Liberation Sans"/>
    </font>
    <font>
      <sz val="10"/>
      <color theme="1"/>
      <name val="Liberation Sans"/>
      <scheme val="minor"/>
    </font>
    <font>
      <sz val="10.5"/>
      <color rgb="FF172B4D"/>
      <name val="Liberation Sans"/>
    </font>
    <font>
      <sz val="11"/>
      <color rgb="FF172B4D"/>
      <name val="Liberation Sans"/>
      <scheme val="minor"/>
    </font>
    <font>
      <b/>
      <sz val="10"/>
      <name val="Liberation Serif"/>
    </font>
    <font>
      <sz val="10"/>
      <name val="Liberation Serif"/>
    </font>
    <font>
      <sz val="11"/>
      <color theme="1"/>
      <name val="Liberation Sans"/>
    </font>
    <font>
      <strike/>
      <sz val="10.5"/>
      <color rgb="FF172B4D"/>
      <name val="Liberation Sans"/>
    </font>
    <font>
      <u/>
      <sz val="10.5"/>
      <color rgb="FF172B4D"/>
      <name val="Liberation Sans"/>
    </font>
    <font>
      <strike/>
      <sz val="11"/>
      <color theme="1"/>
      <name val="Liberation Sans"/>
      <scheme val="minor"/>
    </font>
    <font>
      <sz val="11"/>
      <name val="Carlito"/>
    </font>
    <font>
      <sz val="10.5"/>
      <color rgb="FF172B4D"/>
      <name val="Liberation Sans"/>
    </font>
    <font>
      <i/>
      <sz val="10.5"/>
      <color rgb="FF172B4D"/>
      <name val="Liberation Sans"/>
    </font>
    <font>
      <b/>
      <sz val="10.5"/>
      <color rgb="FF172B4D"/>
      <name val="Liberation Sans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  <fill>
      <patternFill patternType="none"/>
    </fill>
    <fill>
      <patternFill patternType="gray125"/>
    </fill>
    <fill>
      <patternFill patternType="solid">
        <fgColor rgb="FFDDEBF7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/>
    <border>
      <left style="thin">
        <color rgb="FF707070"/>
      </left>
      <right style="thin">
        <color rgb="FF707070"/>
      </right>
      <top style="thin">
        <color rgb="FF707070"/>
      </top>
      <bottom style="thin">
        <color rgb="FF707070"/>
      </bottom>
    </border>
  </borders>
  <cellStyleXfs count="2">
    <xf numFmtId="0" fontId="0" fillId="0" borderId="0"/>
    <xf numFmtId="0" fontId="14" fillId="8" borderId="7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7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8" fillId="3" borderId="2" xfId="0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9" fillId="0" borderId="4" xfId="0" applyFont="1" applyBorder="1" applyAlignment="1">
      <alignment vertical="center" wrapText="1"/>
    </xf>
    <xf numFmtId="0" fontId="9" fillId="0" borderId="3" xfId="0" applyFont="1" applyBorder="1" applyAlignment="1">
      <alignment wrapText="1"/>
    </xf>
    <xf numFmtId="0" fontId="5" fillId="0" borderId="0" xfId="0" applyFont="1" applyAlignment="1">
      <alignment vertical="center"/>
    </xf>
    <xf numFmtId="0" fontId="8" fillId="3" borderId="5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1" fontId="0" fillId="4" borderId="1" xfId="0" applyNumberFormat="1" applyFill="1" applyBorder="1" applyAlignment="1">
      <alignment vertical="center"/>
    </xf>
    <xf numFmtId="49" fontId="0" fillId="4" borderId="1" xfId="0" applyNumberFormat="1" applyFill="1" applyBorder="1" applyAlignment="1">
      <alignment vertical="center" wrapText="1"/>
    </xf>
    <xf numFmtId="1" fontId="0" fillId="7" borderId="1" xfId="0" applyNumberFormat="1" applyFill="1" applyBorder="1" applyAlignment="1">
      <alignment vertical="center"/>
    </xf>
    <xf numFmtId="49" fontId="0" fillId="7" borderId="1" xfId="0" applyNumberFormat="1" applyFill="1" applyBorder="1" applyAlignment="1">
      <alignment vertical="center" wrapText="1"/>
    </xf>
    <xf numFmtId="0" fontId="0" fillId="7" borderId="0" xfId="0" applyFill="1" applyAlignment="1">
      <alignment vertical="center"/>
    </xf>
    <xf numFmtId="0" fontId="1" fillId="0" borderId="0" xfId="0" applyFont="1" applyAlignment="1">
      <alignment horizontal="center"/>
    </xf>
    <xf numFmtId="0" fontId="14" fillId="8" borderId="7" xfId="1"/>
    <xf numFmtId="0" fontId="15" fillId="8" borderId="7" xfId="1" applyNumberFormat="1" applyFont="1" applyFill="1" applyBorder="1"/>
    <xf numFmtId="0" fontId="15" fillId="8" borderId="7" xfId="1" applyNumberFormat="1" applyFont="1" applyFill="1" applyBorder="1" applyAlignment="1">
      <alignment wrapText="1"/>
    </xf>
    <xf numFmtId="0" fontId="15" fillId="8" borderId="7" xfId="1" applyNumberFormat="1" applyFont="1" applyFill="1" applyBorder="1" applyAlignment="1">
      <alignment vertical="top" wrapText="1"/>
    </xf>
    <xf numFmtId="0" fontId="16" fillId="8" borderId="7" xfId="1" applyNumberFormat="1" applyFont="1" applyFill="1" applyBorder="1" applyAlignment="1">
      <alignment vertical="top" wrapText="1"/>
    </xf>
    <xf numFmtId="0" fontId="15" fillId="10" borderId="7" xfId="1" applyNumberFormat="1" applyFont="1" applyFill="1" applyBorder="1" applyAlignment="1">
      <alignment vertical="top" wrapText="1"/>
    </xf>
    <xf numFmtId="0" fontId="17" fillId="10" borderId="7" xfId="1" applyNumberFormat="1" applyFont="1" applyFill="1" applyBorder="1" applyAlignment="1">
      <alignment vertical="top" wrapText="1"/>
    </xf>
    <xf numFmtId="0" fontId="17" fillId="10" borderId="8" xfId="1" applyNumberFormat="1" applyFont="1" applyFill="1" applyBorder="1" applyAlignment="1">
      <alignment vertical="top" wrapText="1"/>
    </xf>
    <xf numFmtId="0" fontId="17" fillId="10" borderId="8" xfId="1" applyNumberFormat="1" applyFont="1" applyFill="1" applyBorder="1" applyAlignment="1">
      <alignment horizontal="center" vertical="top" wrapText="1"/>
    </xf>
    <xf numFmtId="0" fontId="17" fillId="10" borderId="8" xfId="1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ont>
        <color rgb="FF666666"/>
      </font>
      <fill>
        <patternFill patternType="solid"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ira.sberbank.ru/browse/CRPLTFRM-37128" TargetMode="External"/><Relationship Id="rId21" Type="http://schemas.openxmlformats.org/officeDocument/2006/relationships/hyperlink" Target="https://jira.sberbank.ru/browse/CRPLTFRM-37124" TargetMode="External"/><Relationship Id="rId42" Type="http://schemas.openxmlformats.org/officeDocument/2006/relationships/hyperlink" Target="https://jira.sberbank.ru/browse/CRPLTFRM-37124" TargetMode="External"/><Relationship Id="rId63" Type="http://schemas.openxmlformats.org/officeDocument/2006/relationships/hyperlink" Target="https://jira.sberbank.ru/browse/CRPLTFRM-37127" TargetMode="External"/><Relationship Id="rId84" Type="http://schemas.openxmlformats.org/officeDocument/2006/relationships/hyperlink" Target="https://jira.sberbank.ru/browse/CRPLTFRM-37127" TargetMode="External"/><Relationship Id="rId138" Type="http://schemas.openxmlformats.org/officeDocument/2006/relationships/hyperlink" Target="https://jira.sberbank.ru/browse/CRPLTFRM-37128" TargetMode="External"/><Relationship Id="rId159" Type="http://schemas.openxmlformats.org/officeDocument/2006/relationships/hyperlink" Target="https://jira.sberbank.ru/browse/CRPLTFRM-37128" TargetMode="External"/><Relationship Id="rId107" Type="http://schemas.openxmlformats.org/officeDocument/2006/relationships/hyperlink" Target="https://jira.sberbank.ru/browse/CRPLTFRM-37127" TargetMode="External"/><Relationship Id="rId11" Type="http://schemas.openxmlformats.org/officeDocument/2006/relationships/hyperlink" Target="https://jira.sberbank.ru/browse/CRPLTFRM-37124" TargetMode="External"/><Relationship Id="rId32" Type="http://schemas.openxmlformats.org/officeDocument/2006/relationships/hyperlink" Target="https://jira.sberbank.ru/browse/CRPLTFRM-37124" TargetMode="External"/><Relationship Id="rId53" Type="http://schemas.openxmlformats.org/officeDocument/2006/relationships/hyperlink" Target="https://jira.sberbank.ru/browse/CRPLTFRM-37124" TargetMode="External"/><Relationship Id="rId74" Type="http://schemas.openxmlformats.org/officeDocument/2006/relationships/hyperlink" Target="https://jira.sberbank.ru/browse/CRPLTFRM-37127" TargetMode="External"/><Relationship Id="rId128" Type="http://schemas.openxmlformats.org/officeDocument/2006/relationships/hyperlink" Target="https://jira.sberbank.ru/browse/CRPLTFRM-37128" TargetMode="External"/><Relationship Id="rId149" Type="http://schemas.openxmlformats.org/officeDocument/2006/relationships/hyperlink" Target="https://jira.sberbank.ru/browse/CRPLTFRM-37128" TargetMode="External"/><Relationship Id="rId5" Type="http://schemas.openxmlformats.org/officeDocument/2006/relationships/hyperlink" Target="https://jira.sberbank.ru/browse/CRPLTFRM-37124" TargetMode="External"/><Relationship Id="rId95" Type="http://schemas.openxmlformats.org/officeDocument/2006/relationships/hyperlink" Target="https://jira.sberbank.ru/browse/CRPLTFRM-37127" TargetMode="External"/><Relationship Id="rId160" Type="http://schemas.openxmlformats.org/officeDocument/2006/relationships/hyperlink" Target="https://jira.sberbank.ru/browse/CRPLTFRM-37128" TargetMode="External"/><Relationship Id="rId22" Type="http://schemas.openxmlformats.org/officeDocument/2006/relationships/hyperlink" Target="https://jira.sberbank.ru/browse/CRPLTFRM-37124" TargetMode="External"/><Relationship Id="rId43" Type="http://schemas.openxmlformats.org/officeDocument/2006/relationships/hyperlink" Target="https://jira.sberbank.ru/browse/CRPLTFRM-37124" TargetMode="External"/><Relationship Id="rId64" Type="http://schemas.openxmlformats.org/officeDocument/2006/relationships/hyperlink" Target="https://jira.sberbank.ru/browse/CRPLTFRM-37127" TargetMode="External"/><Relationship Id="rId118" Type="http://schemas.openxmlformats.org/officeDocument/2006/relationships/hyperlink" Target="https://jira.sberbank.ru/browse/CRPLTFRM-37128" TargetMode="External"/><Relationship Id="rId139" Type="http://schemas.openxmlformats.org/officeDocument/2006/relationships/hyperlink" Target="https://jira.sberbank.ru/browse/CRPLTFRM-37128" TargetMode="External"/><Relationship Id="rId85" Type="http://schemas.openxmlformats.org/officeDocument/2006/relationships/hyperlink" Target="https://jira.sberbank.ru/browse/CRPLTFRM-37127" TargetMode="External"/><Relationship Id="rId150" Type="http://schemas.openxmlformats.org/officeDocument/2006/relationships/hyperlink" Target="https://jira.sberbank.ru/browse/CRPLTFRM-37128" TargetMode="External"/><Relationship Id="rId12" Type="http://schemas.openxmlformats.org/officeDocument/2006/relationships/hyperlink" Target="https://jira.sberbank.ru/browse/CRPLTFRM-37124" TargetMode="External"/><Relationship Id="rId17" Type="http://schemas.openxmlformats.org/officeDocument/2006/relationships/hyperlink" Target="https://jira.sberbank.ru/browse/CRPLTFRM-37124" TargetMode="External"/><Relationship Id="rId33" Type="http://schemas.openxmlformats.org/officeDocument/2006/relationships/hyperlink" Target="https://jira.sberbank.ru/browse/CRPLTFRM-37124" TargetMode="External"/><Relationship Id="rId38" Type="http://schemas.openxmlformats.org/officeDocument/2006/relationships/hyperlink" Target="https://jira.sberbank.ru/browse/CRPLTFRM-37124" TargetMode="External"/><Relationship Id="rId59" Type="http://schemas.openxmlformats.org/officeDocument/2006/relationships/hyperlink" Target="https://jira.sberbank.ru/browse/CRPLTFRM-37127" TargetMode="External"/><Relationship Id="rId103" Type="http://schemas.openxmlformats.org/officeDocument/2006/relationships/hyperlink" Target="https://jira.sberbank.ru/browse/CRPLTFRM-37127" TargetMode="External"/><Relationship Id="rId108" Type="http://schemas.openxmlformats.org/officeDocument/2006/relationships/hyperlink" Target="https://jira.sberbank.ru/browse/CRPLTFRM-37127" TargetMode="External"/><Relationship Id="rId124" Type="http://schemas.openxmlformats.org/officeDocument/2006/relationships/hyperlink" Target="https://jira.sberbank.ru/browse/CRPLTFRM-37128" TargetMode="External"/><Relationship Id="rId129" Type="http://schemas.openxmlformats.org/officeDocument/2006/relationships/hyperlink" Target="https://jira.sberbank.ru/browse/CRPLTFRM-37128" TargetMode="External"/><Relationship Id="rId54" Type="http://schemas.openxmlformats.org/officeDocument/2006/relationships/hyperlink" Target="https://jira.sberbank.ru/browse/CRPLTFRM-37127" TargetMode="External"/><Relationship Id="rId70" Type="http://schemas.openxmlformats.org/officeDocument/2006/relationships/hyperlink" Target="https://jira.sberbank.ru/browse/CRPLTFRM-37127" TargetMode="External"/><Relationship Id="rId75" Type="http://schemas.openxmlformats.org/officeDocument/2006/relationships/hyperlink" Target="https://jira.sberbank.ru/browse/CRPLTFRM-37127" TargetMode="External"/><Relationship Id="rId91" Type="http://schemas.openxmlformats.org/officeDocument/2006/relationships/hyperlink" Target="https://jira.sberbank.ru/browse/CRPLTFRM-37127" TargetMode="External"/><Relationship Id="rId96" Type="http://schemas.openxmlformats.org/officeDocument/2006/relationships/hyperlink" Target="https://jira.sberbank.ru/browse/CRPLTFRM-37127" TargetMode="External"/><Relationship Id="rId140" Type="http://schemas.openxmlformats.org/officeDocument/2006/relationships/hyperlink" Target="https://jira.sberbank.ru/browse/CRPLTFRM-37128" TargetMode="External"/><Relationship Id="rId145" Type="http://schemas.openxmlformats.org/officeDocument/2006/relationships/hyperlink" Target="https://jira.sberbank.ru/browse/CRPLTFRM-37128" TargetMode="External"/><Relationship Id="rId161" Type="http://schemas.openxmlformats.org/officeDocument/2006/relationships/hyperlink" Target="https://jira.sberbank.ru/browse/CRPLTFRM-37128" TargetMode="External"/><Relationship Id="rId1" Type="http://schemas.openxmlformats.org/officeDocument/2006/relationships/hyperlink" Target="https://jira.sberbank.ru/browse/CRPLTFRM-37124" TargetMode="External"/><Relationship Id="rId6" Type="http://schemas.openxmlformats.org/officeDocument/2006/relationships/hyperlink" Target="https://jira.sberbank.ru/browse/CRPLTFRM-37124" TargetMode="External"/><Relationship Id="rId23" Type="http://schemas.openxmlformats.org/officeDocument/2006/relationships/hyperlink" Target="https://jira.sberbank.ru/browse/CRPLTFRM-37124" TargetMode="External"/><Relationship Id="rId28" Type="http://schemas.openxmlformats.org/officeDocument/2006/relationships/hyperlink" Target="https://jira.sberbank.ru/browse/CRPLTFRM-37124" TargetMode="External"/><Relationship Id="rId49" Type="http://schemas.openxmlformats.org/officeDocument/2006/relationships/hyperlink" Target="https://jira.sberbank.ru/browse/CRPLTFRM-37124" TargetMode="External"/><Relationship Id="rId114" Type="http://schemas.openxmlformats.org/officeDocument/2006/relationships/hyperlink" Target="https://jira.sberbank.ru/browse/CRPLTFRM-37128" TargetMode="External"/><Relationship Id="rId119" Type="http://schemas.openxmlformats.org/officeDocument/2006/relationships/hyperlink" Target="https://jira.sberbank.ru/browse/CRPLTFRM-37128" TargetMode="External"/><Relationship Id="rId44" Type="http://schemas.openxmlformats.org/officeDocument/2006/relationships/hyperlink" Target="https://jira.sberbank.ru/browse/CRPLTFRM-37124" TargetMode="External"/><Relationship Id="rId60" Type="http://schemas.openxmlformats.org/officeDocument/2006/relationships/hyperlink" Target="https://jira.sberbank.ru/browse/CRPLTFRM-37127" TargetMode="External"/><Relationship Id="rId65" Type="http://schemas.openxmlformats.org/officeDocument/2006/relationships/hyperlink" Target="https://jira.sberbank.ru/browse/CRPLTFRM-37127" TargetMode="External"/><Relationship Id="rId81" Type="http://schemas.openxmlformats.org/officeDocument/2006/relationships/hyperlink" Target="https://jira.sberbank.ru/browse/CRPLTFRM-37127" TargetMode="External"/><Relationship Id="rId86" Type="http://schemas.openxmlformats.org/officeDocument/2006/relationships/hyperlink" Target="https://jira.sberbank.ru/browse/CRPLTFRM-37127" TargetMode="External"/><Relationship Id="rId130" Type="http://schemas.openxmlformats.org/officeDocument/2006/relationships/hyperlink" Target="https://jira.sberbank.ru/browse/CRPLTFRM-37128" TargetMode="External"/><Relationship Id="rId135" Type="http://schemas.openxmlformats.org/officeDocument/2006/relationships/hyperlink" Target="https://jira.sberbank.ru/browse/CRPLTFRM-37128" TargetMode="External"/><Relationship Id="rId151" Type="http://schemas.openxmlformats.org/officeDocument/2006/relationships/hyperlink" Target="https://jira.sberbank.ru/browse/CRPLTFRM-37128" TargetMode="External"/><Relationship Id="rId156" Type="http://schemas.openxmlformats.org/officeDocument/2006/relationships/hyperlink" Target="https://jira.sberbank.ru/browse/CRPLTFRM-37128" TargetMode="External"/><Relationship Id="rId13" Type="http://schemas.openxmlformats.org/officeDocument/2006/relationships/hyperlink" Target="https://jira.sberbank.ru/browse/CRPLTFRM-37124" TargetMode="External"/><Relationship Id="rId18" Type="http://schemas.openxmlformats.org/officeDocument/2006/relationships/hyperlink" Target="https://jira.sberbank.ru/browse/CRPLTFRM-37124" TargetMode="External"/><Relationship Id="rId39" Type="http://schemas.openxmlformats.org/officeDocument/2006/relationships/hyperlink" Target="https://jira.sberbank.ru/browse/CRPLTFRM-37124" TargetMode="External"/><Relationship Id="rId109" Type="http://schemas.openxmlformats.org/officeDocument/2006/relationships/hyperlink" Target="https://jira.sberbank.ru/browse/CRPLTFRM-37127" TargetMode="External"/><Relationship Id="rId34" Type="http://schemas.openxmlformats.org/officeDocument/2006/relationships/hyperlink" Target="https://jira.sberbank.ru/browse/CRPLTFRM-37124" TargetMode="External"/><Relationship Id="rId50" Type="http://schemas.openxmlformats.org/officeDocument/2006/relationships/hyperlink" Target="https://jira.sberbank.ru/browse/CRPLTFRM-37124" TargetMode="External"/><Relationship Id="rId55" Type="http://schemas.openxmlformats.org/officeDocument/2006/relationships/hyperlink" Target="https://jira.sberbank.ru/browse/CRPLTFRM-37127" TargetMode="External"/><Relationship Id="rId76" Type="http://schemas.openxmlformats.org/officeDocument/2006/relationships/hyperlink" Target="https://jira.sberbank.ru/browse/CRPLTFRM-37127" TargetMode="External"/><Relationship Id="rId97" Type="http://schemas.openxmlformats.org/officeDocument/2006/relationships/hyperlink" Target="https://jira.sberbank.ru/browse/CRPLTFRM-37127" TargetMode="External"/><Relationship Id="rId104" Type="http://schemas.openxmlformats.org/officeDocument/2006/relationships/hyperlink" Target="https://jira.sberbank.ru/browse/CRPLTFRM-37127" TargetMode="External"/><Relationship Id="rId120" Type="http://schemas.openxmlformats.org/officeDocument/2006/relationships/hyperlink" Target="https://jira.sberbank.ru/browse/CRPLTFRM-37128" TargetMode="External"/><Relationship Id="rId125" Type="http://schemas.openxmlformats.org/officeDocument/2006/relationships/hyperlink" Target="https://jira.sberbank.ru/browse/CRPLTFRM-37128" TargetMode="External"/><Relationship Id="rId141" Type="http://schemas.openxmlformats.org/officeDocument/2006/relationships/hyperlink" Target="https://jira.sberbank.ru/browse/CRPLTFRM-37128" TargetMode="External"/><Relationship Id="rId146" Type="http://schemas.openxmlformats.org/officeDocument/2006/relationships/hyperlink" Target="https://jira.sberbank.ru/browse/CRPLTFRM-37128" TargetMode="External"/><Relationship Id="rId7" Type="http://schemas.openxmlformats.org/officeDocument/2006/relationships/hyperlink" Target="https://jira.sberbank.ru/browse/CRPLTFRM-37124" TargetMode="External"/><Relationship Id="rId71" Type="http://schemas.openxmlformats.org/officeDocument/2006/relationships/hyperlink" Target="https://jira.sberbank.ru/browse/CRPLTFRM-37127" TargetMode="External"/><Relationship Id="rId92" Type="http://schemas.openxmlformats.org/officeDocument/2006/relationships/hyperlink" Target="https://jira.sberbank.ru/browse/CRPLTFRM-37127" TargetMode="External"/><Relationship Id="rId162" Type="http://schemas.openxmlformats.org/officeDocument/2006/relationships/hyperlink" Target="https://jira.sberbank.ru/browse/CRPLTFRM-37128" TargetMode="External"/><Relationship Id="rId2" Type="http://schemas.openxmlformats.org/officeDocument/2006/relationships/hyperlink" Target="https://jira.sberbank.ru/browse/CRPLTFRM-37124" TargetMode="External"/><Relationship Id="rId29" Type="http://schemas.openxmlformats.org/officeDocument/2006/relationships/hyperlink" Target="https://jira.sberbank.ru/browse/CRPLTFRM-37124" TargetMode="External"/><Relationship Id="rId24" Type="http://schemas.openxmlformats.org/officeDocument/2006/relationships/hyperlink" Target="https://jira.sberbank.ru/browse/CRPLTFRM-37124" TargetMode="External"/><Relationship Id="rId40" Type="http://schemas.openxmlformats.org/officeDocument/2006/relationships/hyperlink" Target="https://jira.sberbank.ru/browse/CRPLTFRM-37124" TargetMode="External"/><Relationship Id="rId45" Type="http://schemas.openxmlformats.org/officeDocument/2006/relationships/hyperlink" Target="https://jira.sberbank.ru/browse/CRPLTFRM-37124" TargetMode="External"/><Relationship Id="rId66" Type="http://schemas.openxmlformats.org/officeDocument/2006/relationships/hyperlink" Target="https://jira.sberbank.ru/browse/CRPLTFRM-37127" TargetMode="External"/><Relationship Id="rId87" Type="http://schemas.openxmlformats.org/officeDocument/2006/relationships/hyperlink" Target="https://jira.sberbank.ru/browse/CRPLTFRM-37127" TargetMode="External"/><Relationship Id="rId110" Type="http://schemas.openxmlformats.org/officeDocument/2006/relationships/hyperlink" Target="https://jira.sberbank.ru/browse/CRPLTFRM-37127" TargetMode="External"/><Relationship Id="rId115" Type="http://schemas.openxmlformats.org/officeDocument/2006/relationships/hyperlink" Target="https://jira.sberbank.ru/browse/CRPLTFRM-37128" TargetMode="External"/><Relationship Id="rId131" Type="http://schemas.openxmlformats.org/officeDocument/2006/relationships/hyperlink" Target="https://jira.sberbank.ru/browse/CRPLTFRM-37128" TargetMode="External"/><Relationship Id="rId136" Type="http://schemas.openxmlformats.org/officeDocument/2006/relationships/hyperlink" Target="https://jira.sberbank.ru/browse/CRPLTFRM-37128" TargetMode="External"/><Relationship Id="rId157" Type="http://schemas.openxmlformats.org/officeDocument/2006/relationships/hyperlink" Target="https://jira.sberbank.ru/browse/CRPLTFRM-37128" TargetMode="External"/><Relationship Id="rId61" Type="http://schemas.openxmlformats.org/officeDocument/2006/relationships/hyperlink" Target="https://jira.sberbank.ru/browse/CRPLTFRM-37127" TargetMode="External"/><Relationship Id="rId82" Type="http://schemas.openxmlformats.org/officeDocument/2006/relationships/hyperlink" Target="https://jira.sberbank.ru/browse/CRPLTFRM-37127" TargetMode="External"/><Relationship Id="rId152" Type="http://schemas.openxmlformats.org/officeDocument/2006/relationships/hyperlink" Target="https://jira.sberbank.ru/browse/CRPLTFRM-37128" TargetMode="External"/><Relationship Id="rId19" Type="http://schemas.openxmlformats.org/officeDocument/2006/relationships/hyperlink" Target="https://jira.sberbank.ru/browse/CRPLTFRM-37124" TargetMode="External"/><Relationship Id="rId14" Type="http://schemas.openxmlformats.org/officeDocument/2006/relationships/hyperlink" Target="https://jira.sberbank.ru/browse/CRPLTFRM-37124" TargetMode="External"/><Relationship Id="rId30" Type="http://schemas.openxmlformats.org/officeDocument/2006/relationships/hyperlink" Target="https://jira.sberbank.ru/browse/CRPLTFRM-37124" TargetMode="External"/><Relationship Id="rId35" Type="http://schemas.openxmlformats.org/officeDocument/2006/relationships/hyperlink" Target="https://jira.sberbank.ru/browse/CRPLTFRM-37124" TargetMode="External"/><Relationship Id="rId56" Type="http://schemas.openxmlformats.org/officeDocument/2006/relationships/hyperlink" Target="https://jira.sberbank.ru/browse/CRPLTFRM-37127" TargetMode="External"/><Relationship Id="rId77" Type="http://schemas.openxmlformats.org/officeDocument/2006/relationships/hyperlink" Target="https://jira.sberbank.ru/browse/CRPLTFRM-37127" TargetMode="External"/><Relationship Id="rId100" Type="http://schemas.openxmlformats.org/officeDocument/2006/relationships/hyperlink" Target="https://jira.sberbank.ru/browse/CRPLTFRM-37127" TargetMode="External"/><Relationship Id="rId105" Type="http://schemas.openxmlformats.org/officeDocument/2006/relationships/hyperlink" Target="https://jira.sberbank.ru/browse/CRPLTFRM-37127" TargetMode="External"/><Relationship Id="rId126" Type="http://schemas.openxmlformats.org/officeDocument/2006/relationships/hyperlink" Target="https://jira.sberbank.ru/browse/CRPLTFRM-37128" TargetMode="External"/><Relationship Id="rId147" Type="http://schemas.openxmlformats.org/officeDocument/2006/relationships/hyperlink" Target="https://jira.sberbank.ru/browse/CRPLTFRM-37128" TargetMode="External"/><Relationship Id="rId8" Type="http://schemas.openxmlformats.org/officeDocument/2006/relationships/hyperlink" Target="https://jira.sberbank.ru/browse/CRPLTFRM-37124" TargetMode="External"/><Relationship Id="rId51" Type="http://schemas.openxmlformats.org/officeDocument/2006/relationships/hyperlink" Target="https://jira.sberbank.ru/browse/CRPLTFRM-37124" TargetMode="External"/><Relationship Id="rId72" Type="http://schemas.openxmlformats.org/officeDocument/2006/relationships/hyperlink" Target="https://jira.sberbank.ru/browse/CRPLTFRM-37127" TargetMode="External"/><Relationship Id="rId93" Type="http://schemas.openxmlformats.org/officeDocument/2006/relationships/hyperlink" Target="https://jira.sberbank.ru/browse/CRPLTFRM-37127" TargetMode="External"/><Relationship Id="rId98" Type="http://schemas.openxmlformats.org/officeDocument/2006/relationships/hyperlink" Target="https://jira.sberbank.ru/browse/CRPLTFRM-37127" TargetMode="External"/><Relationship Id="rId121" Type="http://schemas.openxmlformats.org/officeDocument/2006/relationships/hyperlink" Target="https://jira.sberbank.ru/browse/CRPLTFRM-37128" TargetMode="External"/><Relationship Id="rId142" Type="http://schemas.openxmlformats.org/officeDocument/2006/relationships/hyperlink" Target="https://jira.sberbank.ru/browse/CRPLTFRM-37128" TargetMode="External"/><Relationship Id="rId163" Type="http://schemas.openxmlformats.org/officeDocument/2006/relationships/hyperlink" Target="https://jira.sberbank.ru/browse/CRPLTFRM-37128" TargetMode="External"/><Relationship Id="rId3" Type="http://schemas.openxmlformats.org/officeDocument/2006/relationships/hyperlink" Target="https://jira.sberbank.ru/browse/CRPLTFRM-37124" TargetMode="External"/><Relationship Id="rId25" Type="http://schemas.openxmlformats.org/officeDocument/2006/relationships/hyperlink" Target="https://jira.sberbank.ru/browse/CRPLTFRM-37124" TargetMode="External"/><Relationship Id="rId46" Type="http://schemas.openxmlformats.org/officeDocument/2006/relationships/hyperlink" Target="https://jira.sberbank.ru/browse/CRPLTFRM-37124" TargetMode="External"/><Relationship Id="rId67" Type="http://schemas.openxmlformats.org/officeDocument/2006/relationships/hyperlink" Target="https://jira.sberbank.ru/browse/CRPLTFRM-37127" TargetMode="External"/><Relationship Id="rId116" Type="http://schemas.openxmlformats.org/officeDocument/2006/relationships/hyperlink" Target="https://jira.sberbank.ru/browse/CRPLTFRM-37128" TargetMode="External"/><Relationship Id="rId137" Type="http://schemas.openxmlformats.org/officeDocument/2006/relationships/hyperlink" Target="https://jira.sberbank.ru/browse/CRPLTFRM-37128" TargetMode="External"/><Relationship Id="rId158" Type="http://schemas.openxmlformats.org/officeDocument/2006/relationships/hyperlink" Target="https://jira.sberbank.ru/browse/CRPLTFRM-37128" TargetMode="External"/><Relationship Id="rId20" Type="http://schemas.openxmlformats.org/officeDocument/2006/relationships/hyperlink" Target="https://jira.sberbank.ru/browse/CRPLTFRM-37124" TargetMode="External"/><Relationship Id="rId41" Type="http://schemas.openxmlformats.org/officeDocument/2006/relationships/hyperlink" Target="https://jira.sberbank.ru/browse/CRPLTFRM-37124" TargetMode="External"/><Relationship Id="rId62" Type="http://schemas.openxmlformats.org/officeDocument/2006/relationships/hyperlink" Target="https://jira.sberbank.ru/browse/CRPLTFRM-37127" TargetMode="External"/><Relationship Id="rId83" Type="http://schemas.openxmlformats.org/officeDocument/2006/relationships/hyperlink" Target="https://jira.sberbank.ru/browse/CRPLTFRM-37127" TargetMode="External"/><Relationship Id="rId88" Type="http://schemas.openxmlformats.org/officeDocument/2006/relationships/hyperlink" Target="https://jira.sberbank.ru/browse/CRPLTFRM-37127" TargetMode="External"/><Relationship Id="rId111" Type="http://schemas.openxmlformats.org/officeDocument/2006/relationships/hyperlink" Target="https://jira.sberbank.ru/browse/CRPLTFRM-37127" TargetMode="External"/><Relationship Id="rId132" Type="http://schemas.openxmlformats.org/officeDocument/2006/relationships/hyperlink" Target="https://jira.sberbank.ru/browse/CRPLTFRM-37128" TargetMode="External"/><Relationship Id="rId153" Type="http://schemas.openxmlformats.org/officeDocument/2006/relationships/hyperlink" Target="https://jira.sberbank.ru/browse/CRPLTFRM-37128" TargetMode="External"/><Relationship Id="rId15" Type="http://schemas.openxmlformats.org/officeDocument/2006/relationships/hyperlink" Target="https://jira.sberbank.ru/browse/CRPLTFRM-37124" TargetMode="External"/><Relationship Id="rId36" Type="http://schemas.openxmlformats.org/officeDocument/2006/relationships/hyperlink" Target="https://jira.sberbank.ru/browse/CRPLTFRM-37124" TargetMode="External"/><Relationship Id="rId57" Type="http://schemas.openxmlformats.org/officeDocument/2006/relationships/hyperlink" Target="https://jira.sberbank.ru/browse/CRPLTFRM-37127" TargetMode="External"/><Relationship Id="rId106" Type="http://schemas.openxmlformats.org/officeDocument/2006/relationships/hyperlink" Target="https://jira.sberbank.ru/browse/CRPLTFRM-37127" TargetMode="External"/><Relationship Id="rId127" Type="http://schemas.openxmlformats.org/officeDocument/2006/relationships/hyperlink" Target="https://jira.sberbank.ru/browse/CRPLTFRM-37128" TargetMode="External"/><Relationship Id="rId10" Type="http://schemas.openxmlformats.org/officeDocument/2006/relationships/hyperlink" Target="https://jira.sberbank.ru/browse/CRPLTFRM-37124" TargetMode="External"/><Relationship Id="rId31" Type="http://schemas.openxmlformats.org/officeDocument/2006/relationships/hyperlink" Target="https://jira.sberbank.ru/browse/CRPLTFRM-37124" TargetMode="External"/><Relationship Id="rId52" Type="http://schemas.openxmlformats.org/officeDocument/2006/relationships/hyperlink" Target="https://jira.sberbank.ru/browse/CRPLTFRM-37124" TargetMode="External"/><Relationship Id="rId73" Type="http://schemas.openxmlformats.org/officeDocument/2006/relationships/hyperlink" Target="https://jira.sberbank.ru/browse/CRPLTFRM-37127" TargetMode="External"/><Relationship Id="rId78" Type="http://schemas.openxmlformats.org/officeDocument/2006/relationships/hyperlink" Target="https://jira.sberbank.ru/browse/CRPLTFRM-37127" TargetMode="External"/><Relationship Id="rId94" Type="http://schemas.openxmlformats.org/officeDocument/2006/relationships/hyperlink" Target="https://jira.sberbank.ru/browse/CRPLTFRM-37127" TargetMode="External"/><Relationship Id="rId99" Type="http://schemas.openxmlformats.org/officeDocument/2006/relationships/hyperlink" Target="https://jira.sberbank.ru/browse/CRPLTFRM-37127" TargetMode="External"/><Relationship Id="rId101" Type="http://schemas.openxmlformats.org/officeDocument/2006/relationships/hyperlink" Target="https://jira.sberbank.ru/browse/CRPLTFRM-37127" TargetMode="External"/><Relationship Id="rId122" Type="http://schemas.openxmlformats.org/officeDocument/2006/relationships/hyperlink" Target="https://jira.sberbank.ru/browse/CRPLTFRM-37128" TargetMode="External"/><Relationship Id="rId143" Type="http://schemas.openxmlformats.org/officeDocument/2006/relationships/hyperlink" Target="https://jira.sberbank.ru/browse/CRPLTFRM-37128" TargetMode="External"/><Relationship Id="rId148" Type="http://schemas.openxmlformats.org/officeDocument/2006/relationships/hyperlink" Target="https://jira.sberbank.ru/browse/CRPLTFRM-37128" TargetMode="External"/><Relationship Id="rId164" Type="http://schemas.openxmlformats.org/officeDocument/2006/relationships/hyperlink" Target="https://jira.sberbank.ru/browse/CRPLTFRM-37128" TargetMode="External"/><Relationship Id="rId4" Type="http://schemas.openxmlformats.org/officeDocument/2006/relationships/hyperlink" Target="https://jira.sberbank.ru/browse/CRPLTFRM-37124" TargetMode="External"/><Relationship Id="rId9" Type="http://schemas.openxmlformats.org/officeDocument/2006/relationships/hyperlink" Target="https://jira.sberbank.ru/browse/CRPLTFRM-37124" TargetMode="External"/><Relationship Id="rId26" Type="http://schemas.openxmlformats.org/officeDocument/2006/relationships/hyperlink" Target="https://jira.sberbank.ru/browse/CRPLTFRM-37124" TargetMode="External"/><Relationship Id="rId47" Type="http://schemas.openxmlformats.org/officeDocument/2006/relationships/hyperlink" Target="https://jira.sberbank.ru/browse/CRPLTFRM-37124" TargetMode="External"/><Relationship Id="rId68" Type="http://schemas.openxmlformats.org/officeDocument/2006/relationships/hyperlink" Target="https://jira.sberbank.ru/browse/CRPLTFRM-37127" TargetMode="External"/><Relationship Id="rId89" Type="http://schemas.openxmlformats.org/officeDocument/2006/relationships/hyperlink" Target="https://jira.sberbank.ru/browse/CRPLTFRM-37127" TargetMode="External"/><Relationship Id="rId112" Type="http://schemas.openxmlformats.org/officeDocument/2006/relationships/hyperlink" Target="https://jira.sberbank.ru/browse/CRPLTFRM-37127" TargetMode="External"/><Relationship Id="rId133" Type="http://schemas.openxmlformats.org/officeDocument/2006/relationships/hyperlink" Target="https://jira.sberbank.ru/browse/CRPLTFRM-37128" TargetMode="External"/><Relationship Id="rId154" Type="http://schemas.openxmlformats.org/officeDocument/2006/relationships/hyperlink" Target="https://jira.sberbank.ru/browse/CRPLTFRM-37128" TargetMode="External"/><Relationship Id="rId16" Type="http://schemas.openxmlformats.org/officeDocument/2006/relationships/hyperlink" Target="https://jira.sberbank.ru/browse/CRPLTFRM-37124" TargetMode="External"/><Relationship Id="rId37" Type="http://schemas.openxmlformats.org/officeDocument/2006/relationships/hyperlink" Target="https://jira.sberbank.ru/browse/CRPLTFRM-37124" TargetMode="External"/><Relationship Id="rId58" Type="http://schemas.openxmlformats.org/officeDocument/2006/relationships/hyperlink" Target="https://jira.sberbank.ru/browse/CRPLTFRM-37127" TargetMode="External"/><Relationship Id="rId79" Type="http://schemas.openxmlformats.org/officeDocument/2006/relationships/hyperlink" Target="https://jira.sberbank.ru/browse/CRPLTFRM-37127" TargetMode="External"/><Relationship Id="rId102" Type="http://schemas.openxmlformats.org/officeDocument/2006/relationships/hyperlink" Target="https://jira.sberbank.ru/browse/CRPLTFRM-37127" TargetMode="External"/><Relationship Id="rId123" Type="http://schemas.openxmlformats.org/officeDocument/2006/relationships/hyperlink" Target="https://jira.sberbank.ru/browse/CRPLTFRM-37128" TargetMode="External"/><Relationship Id="rId144" Type="http://schemas.openxmlformats.org/officeDocument/2006/relationships/hyperlink" Target="https://jira.sberbank.ru/browse/CRPLTFRM-37128" TargetMode="External"/><Relationship Id="rId90" Type="http://schemas.openxmlformats.org/officeDocument/2006/relationships/hyperlink" Target="https://jira.sberbank.ru/browse/CRPLTFRM-37127" TargetMode="External"/><Relationship Id="rId27" Type="http://schemas.openxmlformats.org/officeDocument/2006/relationships/hyperlink" Target="https://jira.sberbank.ru/browse/CRPLTFRM-37124" TargetMode="External"/><Relationship Id="rId48" Type="http://schemas.openxmlformats.org/officeDocument/2006/relationships/hyperlink" Target="https://jira.sberbank.ru/browse/CRPLTFRM-37124" TargetMode="External"/><Relationship Id="rId69" Type="http://schemas.openxmlformats.org/officeDocument/2006/relationships/hyperlink" Target="https://jira.sberbank.ru/browse/CRPLTFRM-37127" TargetMode="External"/><Relationship Id="rId113" Type="http://schemas.openxmlformats.org/officeDocument/2006/relationships/hyperlink" Target="https://jira.sberbank.ru/browse/CRPLTFRM-37127" TargetMode="External"/><Relationship Id="rId134" Type="http://schemas.openxmlformats.org/officeDocument/2006/relationships/hyperlink" Target="https://jira.sberbank.ru/browse/CRPLTFRM-37128" TargetMode="External"/><Relationship Id="rId80" Type="http://schemas.openxmlformats.org/officeDocument/2006/relationships/hyperlink" Target="https://jira.sberbank.ru/browse/CRPLTFRM-37127" TargetMode="External"/><Relationship Id="rId155" Type="http://schemas.openxmlformats.org/officeDocument/2006/relationships/hyperlink" Target="https://jira.sberbank.ru/browse/CRPLTFRM-371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70"/>
  <sheetViews>
    <sheetView tabSelected="1" zoomScale="120" workbookViewId="0"/>
  </sheetViews>
  <sheetFormatPr baseColWidth="10" defaultColWidth="8.83203125" defaultRowHeight="14"/>
  <cols>
    <col min="1" max="1" width="1.6640625" customWidth="1"/>
    <col min="2" max="2" width="16.5" customWidth="1"/>
    <col min="3" max="3" width="81.33203125" customWidth="1"/>
    <col min="4" max="4" width="32.33203125" customWidth="1"/>
    <col min="5" max="6" width="10" hidden="1" customWidth="1"/>
    <col min="7" max="7" width="10" style="1" hidden="1" customWidth="1"/>
    <col min="8" max="8" width="12.83203125" style="1" customWidth="1"/>
    <col min="9" max="9" width="13" style="1" customWidth="1"/>
    <col min="10" max="10" width="25.83203125" style="2" customWidth="1"/>
    <col min="11" max="11" width="13" style="1" bestFit="1" customWidth="1"/>
    <col min="12" max="12" width="31" hidden="0" customWidth="1"/>
    <col min="13" max="13" width="76" hidden="0" customWidth="1"/>
    <col min="14" max="14" width="82" hidden="0" customWidth="1"/>
  </cols>
  <sheetData>
    <row r="1" spans="2:14" ht="34" customHeight="1">
      <c r="E1" s="58" t="s">
        <v>0</v>
      </c>
      <c r="F1" s="58"/>
      <c r="G1" s="58"/>
      <c r="H1" s="3"/>
      <c r="I1" s="3"/>
      <c r="L1" s="63" t="str">
        <v>Оценка на 28.09.2026</v>
      </c>
      <c r="M1" s="63" t="str">
        <v>Статический анализ архива 23.09.2026. Стенд не проверен. H — план; L — оценка.</v>
      </c>
      <c r="N1" s="63" t="str">
        <v>Пути относительно корня архива. Полные основания: DKB_RELEASE_1_REVIEW_2026-09-28.md</v>
      </c>
    </row>
    <row r="2" spans="2:14" ht="64" customHeight="1"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8" t="str">
        <v>Оценка по архиву</v>
      </c>
      <c r="M2" s="68" t="str">
        <v>Замечания и необходимые подтверждения</v>
      </c>
      <c r="N2" s="68" t="str">
        <v>Основание: файл и строки</v>
      </c>
    </row>
    <row r="3" spans="2:14" ht="64" hidden="1">
      <c r="B3" s="6" t="s">
        <v>11</v>
      </c>
      <c r="C3" s="7"/>
      <c r="D3" s="7"/>
      <c r="E3" s="8"/>
      <c r="F3" s="8"/>
      <c r="G3" s="9"/>
      <c r="L3" s="62"/>
      <c r="M3" s="62"/>
      <c r="N3" s="62"/>
    </row>
    <row r="4" spans="2:14" ht="45" customHeight="1">
      <c r="B4" s="10" t="s">
        <v>12</v>
      </c>
      <c r="C4" s="10" t="s">
        <v>13</v>
      </c>
      <c r="D4" s="11" t="s">
        <v>14</v>
      </c>
      <c r="E4" s="9" t="str">
        <f>IF(EXACT(IFERROR(VLOOKUP(B4,' Первый релиз (05.08)'!$A$1:$A$96,1,FALSE),"нет"),B4),"Да","Нет")</f>
        <v>Да</v>
      </c>
      <c r="F4" s="9" t="str">
        <f>IF(EXACT(IFERROR(VLOOKUP(B4,'Первый релиз (04.09)'!$A$1:$A$96,1,FALSE),"нет"),B4),"Да","Нет")</f>
        <v>Да</v>
      </c>
      <c r="G4" s="9" t="s">
        <v>15</v>
      </c>
      <c r="H4" s="9" t="s">
        <v>15</v>
      </c>
      <c r="I4" s="9"/>
      <c r="J4" s="12"/>
      <c r="K4" s="9">
        <v>1</v>
      </c>
      <c r="L4" s="62" t="str">
        <v>Частично</v>
      </c>
      <c r="M4" s="62" t="str">
        <v>Есть роли и назначения AD-групп. Минимум полномочий ПУЗ/ТУЗ требует проверки эффективных политик, включая OpenSearch all_access.</v>
      </c>
      <c r="N4" s="62" t="str">
        <v>ansible/roles/keystone/tasks/register.yml:62–70
ansible/roles/keystone/tasks/assign_ldap_roles.yml:47–68</v>
      </c>
    </row>
    <row r="5" spans="2:14" ht="42" customHeight="1">
      <c r="B5" s="13" t="s">
        <v>16</v>
      </c>
      <c r="C5" s="13" t="s">
        <v>17</v>
      </c>
      <c r="D5" s="14" t="s">
        <v>14</v>
      </c>
      <c r="E5" s="15" t="str">
        <f>IF(EXACT(IFERROR(VLOOKUP(B5,' Первый релиз (05.08)'!$A$1:$A$96,1,FALSE),"нет"),B5),"Да","Нет")</f>
        <v>Да</v>
      </c>
      <c r="F5" s="15" t="str">
        <f>IF(EXACT(IFERROR(VLOOKUP(B5,'Первый релиз (04.09)'!$A$1:$A$96,1,FALSE),"нет"),B5),"Да","Нет")</f>
        <v>Нет</v>
      </c>
      <c r="G5" s="15" t="s">
        <v>15</v>
      </c>
      <c r="H5" s="9" t="s">
        <v>15</v>
      </c>
      <c r="I5" s="15"/>
      <c r="J5" s="16" t="s">
        <v>18</v>
      </c>
      <c r="K5" s="15">
        <v>2</v>
      </c>
      <c r="L5" s="62" t="str">
        <v>Не подтверждено</v>
      </c>
      <c r="M5" s="62" t="str">
        <v>Автоматический запрет совмещения ролей не установлен. Нужны матрица несовместимости и отрицательная проверка назначения.</v>
      </c>
      <c r="N5" s="62" t="str">
        <v>ansible/roles/keystone/tasks/register.yml:62–70
ansible/roles/keystone/tasks/assign_ldap_roles.yml:47–68</v>
      </c>
    </row>
    <row r="6" spans="2:14" ht="42" hidden="1" customHeight="1">
      <c r="B6" s="10" t="s">
        <v>19</v>
      </c>
      <c r="C6" s="10" t="s">
        <v>20</v>
      </c>
      <c r="D6" s="11" t="s">
        <v>14</v>
      </c>
      <c r="E6" s="9" t="str">
        <f>IF(EXACT(IFERROR(VLOOKUP(B6,' Первый релиз (05.08)'!$A$1:$A$96,1,FALSE),"нет"),B6),"Да","Нет")</f>
        <v>Нет</v>
      </c>
      <c r="F6" s="9" t="str">
        <f>IF(EXACT(IFERROR(VLOOKUP(B6,'Первый релиз (04.09)'!$A$1:$A$96,1,FALSE),"нет"),B6),"Да","Нет")</f>
        <v>Нет</v>
      </c>
      <c r="G6" s="9" t="s">
        <v>21</v>
      </c>
      <c r="H6" s="9"/>
      <c r="I6" s="17"/>
      <c r="J6" s="12"/>
      <c r="K6" s="9">
        <v>5</v>
      </c>
      <c r="L6" s="62" t="str">
        <v>Вне объёма оценки</v>
      </c>
      <c r="M6" s="62" t="str">
        <v>В колонке H нет отметки «Да» для релиза 1.0. Выполнение по архиву в этой оценке не анализировалось.</v>
      </c>
      <c r="N6" s="62" t="str">
        <v>Исходный Excel, «Все требования», H6</v>
      </c>
    </row>
    <row r="7" spans="2:14" ht="42" hidden="1" customHeight="1">
      <c r="B7" s="10" t="s">
        <v>22</v>
      </c>
      <c r="C7" s="10" t="s">
        <v>23</v>
      </c>
      <c r="D7" s="11" t="s">
        <v>14</v>
      </c>
      <c r="E7" s="9" t="str">
        <f>IF(EXACT(IFERROR(VLOOKUP(B7,' Первый релиз (05.08)'!$A$1:$A$96,1,FALSE),"нет"),B7),"Да","Нет")</f>
        <v>Нет</v>
      </c>
      <c r="F7" s="9" t="str">
        <f>IF(EXACT(IFERROR(VLOOKUP(B7,'Первый релиз (04.09)'!$A$1:$A$96,1,FALSE),"нет"),B7),"Да","Нет")</f>
        <v>Нет</v>
      </c>
      <c r="G7" s="9" t="s">
        <v>21</v>
      </c>
      <c r="H7" s="9"/>
      <c r="I7" s="17"/>
      <c r="J7" s="12"/>
      <c r="K7" s="9">
        <v>6</v>
      </c>
      <c r="L7" s="62" t="str">
        <v>Вне объёма оценки</v>
      </c>
      <c r="M7" s="62" t="str">
        <v>В колонке H нет отметки «Да» для релиза 1.0. Выполнение по архиву в этой оценке не анализировалось.</v>
      </c>
      <c r="N7" s="62" t="str">
        <v>Исходный Excel, «Все требования», H7</v>
      </c>
    </row>
    <row r="8" spans="2:14" ht="42" customHeight="1">
      <c r="B8" s="10" t="s">
        <v>24</v>
      </c>
      <c r="C8" s="10" t="s">
        <v>25</v>
      </c>
      <c r="D8" s="11" t="s">
        <v>14</v>
      </c>
      <c r="E8" s="9" t="str">
        <f>IF(EXACT(IFERROR(VLOOKUP(B8,' Первый релиз (05.08)'!$A$1:$A$96,1,FALSE),"нет"),B8),"Да","Нет")</f>
        <v>Нет</v>
      </c>
      <c r="F8" s="9" t="str">
        <f>IF(EXACT(IFERROR(VLOOKUP(B8,'Первый релиз (04.09)'!$A$1:$A$96,1,FALSE),"нет"),B8),"Да","Нет")</f>
        <v>Да</v>
      </c>
      <c r="G8" s="9" t="s">
        <v>15</v>
      </c>
      <c r="H8" s="9" t="s">
        <v>15</v>
      </c>
      <c r="I8" s="9"/>
      <c r="J8" s="12"/>
      <c r="K8" s="9" t="s">
        <v>26</v>
      </c>
      <c r="L8" s="62" t="str">
        <v>Не подтверждено</v>
      </c>
      <c r="M8" s="62" t="str">
        <v>Технические УЗ создаются. Запрет их использования человеком для пользовательских и административных задач не подтверждён.</v>
      </c>
      <c r="N8" s="62" t="str">
        <v>ansible/roles/keystone/tasks/register.yml:2–13
ansible/roles/opensearch/defaults/main.yml:343–370</v>
      </c>
    </row>
    <row r="9" spans="2:14" ht="58" customHeight="1">
      <c r="B9" s="10" t="s">
        <v>27</v>
      </c>
      <c r="C9" s="10" t="s">
        <v>28</v>
      </c>
      <c r="D9" s="11" t="s">
        <v>14</v>
      </c>
      <c r="E9" s="9" t="str">
        <f>IF(EXACT(IFERROR(VLOOKUP(B9,' Первый релиз (05.08)'!$A$1:$A$96,1,FALSE),"нет"),B9),"Да","Нет")</f>
        <v>Да</v>
      </c>
      <c r="F9" s="9" t="str">
        <f>IF(EXACT(IFERROR(VLOOKUP(B9,'Первый релиз (04.09)'!$A$1:$A$96,1,FALSE),"нет"),B9),"Да","Нет")</f>
        <v>Да</v>
      </c>
      <c r="G9" s="9" t="s">
        <v>15</v>
      </c>
      <c r="H9" s="9" t="s">
        <v>15</v>
      </c>
      <c r="I9" s="9"/>
      <c r="J9" s="12"/>
      <c r="K9" s="9" t="s">
        <v>29</v>
      </c>
      <c r="L9" s="62" t="str">
        <v>Разрыв</v>
      </c>
      <c r="M9" s="62" t="str">
        <v>В типовой конфигурации остаются локальный bootstrap-admin и внутренние УЗ OpenSearch. Зафиксировать допустимые исключения и запрет локального пользовательского входа.</v>
      </c>
      <c r="N9" s="62" t="str">
        <v>ansible/roles/keystone/tasks/register.yml:2–13
ansible/roles/opensearch/defaults/main.yml:343–370</v>
      </c>
    </row>
    <row r="10" spans="2:14" ht="42" customHeight="1">
      <c r="B10" s="10" t="s">
        <v>30</v>
      </c>
      <c r="C10" s="10" t="s">
        <v>31</v>
      </c>
      <c r="D10" s="11" t="s">
        <v>14</v>
      </c>
      <c r="E10" s="9" t="str">
        <f>IF(EXACT(IFERROR(VLOOKUP(B10,' Первый релиз (05.08)'!$A$1:$A$96,1,FALSE),"нет"),B10),"Да","Нет")</f>
        <v>Да</v>
      </c>
      <c r="F10" s="9" t="str">
        <f>IF(EXACT(IFERROR(VLOOKUP(B10,'Первый релиз (04.09)'!$A$1:$A$96,1,FALSE),"нет"),B10),"Да","Нет")</f>
        <v>Да</v>
      </c>
      <c r="G10" s="9" t="s">
        <v>15</v>
      </c>
      <c r="H10" s="9" t="s">
        <v>15</v>
      </c>
      <c r="I10" s="9"/>
      <c r="J10" s="12"/>
      <c r="K10" s="9">
        <v>8</v>
      </c>
      <c r="L10" s="62" t="str">
        <v>Не подтверждено</v>
      </c>
      <c r="M10" s="62" t="str">
        <v>Общее отключение стандартных УЗ не установлено. Проверить итоговый перечень УЗ и отключённые входы после развёртывания.</v>
      </c>
      <c r="N10" s="62" t="str">
        <v>ansible/roles/keystone/tasks/register.yml:2–13
ansible/roles/opensearch/defaults/main.yml:343–370</v>
      </c>
    </row>
    <row r="11" spans="2:14" ht="42" hidden="1" customHeight="1">
      <c r="B11" s="13" t="s">
        <v>32</v>
      </c>
      <c r="C11" s="13" t="s">
        <v>33</v>
      </c>
      <c r="D11" s="14" t="s">
        <v>14</v>
      </c>
      <c r="E11" s="15" t="str">
        <f>IF(EXACT(IFERROR(VLOOKUP(B11,' Первый релиз (05.08)'!$A$1:$A$96,1,FALSE),"нет"),B11),"Да","Нет")</f>
        <v>Да</v>
      </c>
      <c r="F11" s="15" t="str">
        <f>IF(EXACT(IFERROR(VLOOKUP(B11,'Первый релиз (04.09)'!$A$1:$A$96,1,FALSE),"нет"),B11),"Да","Нет")</f>
        <v>Нет</v>
      </c>
      <c r="G11" s="18" t="s">
        <v>21</v>
      </c>
      <c r="H11" s="18"/>
      <c r="I11" s="19"/>
      <c r="J11" s="16" t="s">
        <v>34</v>
      </c>
      <c r="K11" s="15">
        <v>12</v>
      </c>
      <c r="L11" s="62" t="str">
        <v>Вне объёма оценки</v>
      </c>
      <c r="M11" s="62" t="str">
        <v>В колонке H нет отметки «Да» для релиза 1.0. Выполнение по архиву в этой оценке не анализировалось.</v>
      </c>
      <c r="N11" s="62" t="str">
        <v>Исходный Excel, «Все требования», H11</v>
      </c>
    </row>
    <row r="12" spans="2:14" ht="42" customHeight="1">
      <c r="B12" s="20" t="s">
        <v>35</v>
      </c>
      <c r="C12" s="20" t="s">
        <v>36</v>
      </c>
      <c r="D12" s="21" t="s">
        <v>14</v>
      </c>
      <c r="E12" s="22" t="str">
        <f>IF(EXACT(IFERROR(VLOOKUP(B12,' Первый релиз (05.08)'!$A$1:$A$96,1,FALSE),"нет"),B12),"Да","Нет")</f>
        <v>Да</v>
      </c>
      <c r="F12" s="22" t="str">
        <f>IF(EXACT(IFERROR(VLOOKUP(B12,'Первый релиз (04.09)'!$A$1:$A$96,1,FALSE),"нет"),B12),"Да","Нет")</f>
        <v>Нет</v>
      </c>
      <c r="G12" s="23" t="s">
        <v>15</v>
      </c>
      <c r="H12" s="24" t="s">
        <v>15</v>
      </c>
      <c r="I12" s="23"/>
      <c r="J12" s="25" t="s">
        <v>37</v>
      </c>
      <c r="K12" s="22" t="s">
        <v>38</v>
      </c>
      <c r="L12" s="62" t="str">
        <v>Частично</v>
      </c>
      <c r="M12" s="62" t="str">
        <v>Есть SecMan-адаптер и ссылки на секреты. Проверить все потребители и постоянные копии. Исключение нулевых секретов из J12 сохранено.</v>
      </c>
      <c r="N12" s="62" t="str">
        <v>kolla_ansible/secret_backends.py:26–57
ansible/group_vars/all.yml:1807–1813</v>
      </c>
    </row>
    <row r="13" spans="2:14" ht="42" hidden="1" customHeight="1">
      <c r="B13" s="10" t="s">
        <v>39</v>
      </c>
      <c r="C13" s="10" t="s">
        <v>40</v>
      </c>
      <c r="D13" s="11" t="s">
        <v>14</v>
      </c>
      <c r="E13" s="9" t="str">
        <f>IF(EXACT(IFERROR(VLOOKUP(B13,' Первый релиз (05.08)'!$A$1:$A$96,1,FALSE),"нет"),B13),"Да","Нет")</f>
        <v>Нет</v>
      </c>
      <c r="F13" s="9" t="str">
        <f>IF(EXACT(IFERROR(VLOOKUP(B13,'Первый релиз (04.09)'!$A$1:$A$96,1,FALSE),"нет"),B13),"Да","Нет")</f>
        <v>Нет</v>
      </c>
      <c r="G13" s="9" t="s">
        <v>21</v>
      </c>
      <c r="H13" s="9"/>
      <c r="I13" s="17"/>
      <c r="J13" s="12"/>
      <c r="K13" s="9">
        <v>13</v>
      </c>
      <c r="L13" s="62" t="str">
        <v>Вне объёма оценки</v>
      </c>
      <c r="M13" s="62" t="str">
        <v>В колонке H нет отметки «Да» для релиза 1.0. Выполнение по архиву в этой оценке не анализировалось.</v>
      </c>
      <c r="N13" s="62" t="str">
        <v>Исходный Excel, «Все требования», H13</v>
      </c>
    </row>
    <row r="14" spans="2:14" ht="45" hidden="1" customHeight="1">
      <c r="B14" s="10" t="s">
        <v>41</v>
      </c>
      <c r="C14" s="10" t="s">
        <v>42</v>
      </c>
      <c r="D14" s="11" t="s">
        <v>14</v>
      </c>
      <c r="E14" s="9" t="str">
        <f>IF(EXACT(IFERROR(VLOOKUP(B14,' Первый релиз (05.08)'!$A$1:$A$96,1,FALSE),"нет"),B14),"Да","Нет")</f>
        <v>Нет</v>
      </c>
      <c r="F14" s="9" t="str">
        <f>IF(EXACT(IFERROR(VLOOKUP(B14,'Первый релиз (04.09)'!$A$1:$A$96,1,FALSE),"нет"),B14),"Да","Нет")</f>
        <v>Нет</v>
      </c>
      <c r="G14" s="9" t="s">
        <v>21</v>
      </c>
      <c r="H14" s="9"/>
      <c r="I14" s="17"/>
      <c r="J14" s="12"/>
      <c r="K14" s="9">
        <v>14</v>
      </c>
      <c r="L14" s="62" t="str">
        <v>Вне объёма оценки</v>
      </c>
      <c r="M14" s="62" t="str">
        <v>В колонке H нет отметки «Да» для релиза 1.0. Выполнение по архиву в этой оценке не анализировалось.</v>
      </c>
      <c r="N14" s="62" t="str">
        <v>Исходный Excel, «Все требования», H14</v>
      </c>
    </row>
    <row r="15" spans="2:14" ht="60" customHeight="1">
      <c r="B15" s="10" t="s">
        <v>43</v>
      </c>
      <c r="C15" s="10" t="s">
        <v>44</v>
      </c>
      <c r="D15" s="11" t="s">
        <v>14</v>
      </c>
      <c r="E15" s="9" t="str">
        <f>IF(EXACT(IFERROR(VLOOKUP(B15,' Первый релиз (05.08)'!$A$1:$A$96,1,FALSE),"нет"),B15),"Да","Нет")</f>
        <v>Да</v>
      </c>
      <c r="F15" s="9" t="str">
        <f>IF(EXACT(IFERROR(VLOOKUP(B15,'Первый релиз (04.09)'!$A$1:$A$96,1,FALSE),"нет"),B15),"Да","Нет")</f>
        <v>Нет</v>
      </c>
      <c r="G15" s="24" t="s">
        <v>15</v>
      </c>
      <c r="H15" s="24" t="s">
        <v>15</v>
      </c>
      <c r="I15" s="24"/>
      <c r="J15" s="26" t="s">
        <v>45</v>
      </c>
      <c r="K15" s="9">
        <v>113</v>
      </c>
      <c r="L15" s="62" t="str">
        <v>Частично; конфликт объёма</v>
      </c>
      <c r="M15" s="62" t="str">
        <v>Есть назначения member/admin. Четыре прикладные роли не подтверждены. H15=Да, но J15 переносит итоговую РМ в следующий релиз.</v>
      </c>
      <c r="N15" s="62" t="str">
        <v>ansible/roles/keystone/tasks/register.yml:62–70
ansible/roles/keystone/tasks/assign_ldap_roles.yml:47–68</v>
      </c>
    </row>
    <row r="16" spans="2:14" ht="45" customHeight="1">
      <c r="B16" s="10" t="s">
        <v>46</v>
      </c>
      <c r="C16" s="27" t="s">
        <v>47</v>
      </c>
      <c r="D16" s="11" t="s">
        <v>14</v>
      </c>
      <c r="E16" s="9" t="str">
        <f>IF(EXACT(IFERROR(VLOOKUP(B16,' Первый релиз (05.08)'!$A$1:$A$96,1,FALSE),"нет"),B16),"Да","Нет")</f>
        <v>Да</v>
      </c>
      <c r="F16" s="9" t="str">
        <f>IF(EXACT(IFERROR(VLOOKUP(B16,'Первый релиз (04.09)'!$A$1:$A$96,1,FALSE),"нет"),B16),"Да","Нет")</f>
        <v>Нет</v>
      </c>
      <c r="G16" s="9" t="s">
        <v>15</v>
      </c>
      <c r="H16" s="24" t="s">
        <v>15</v>
      </c>
      <c r="I16" s="9"/>
      <c r="J16" s="12"/>
      <c r="K16" s="9">
        <v>114</v>
      </c>
      <c r="L16" s="62" t="str">
        <v>Есть механизм</v>
      </c>
      <c r="M16" s="62" t="str">
        <v>AD-группа разработчиков получает member. Проверить создание и изменение конфигурации ВМ в разрешённом проекте.</v>
      </c>
      <c r="N16" s="62" t="str">
        <v>ansible/roles/keystone/tasks/register.yml:62–70
ansible/roles/keystone/tasks/assign_ldap_roles.yml:47–68</v>
      </c>
    </row>
    <row r="17" spans="2:14" ht="60" customHeight="1">
      <c r="B17" s="10" t="s">
        <v>48</v>
      </c>
      <c r="C17" s="10" t="s">
        <v>49</v>
      </c>
      <c r="D17" s="11" t="s">
        <v>14</v>
      </c>
      <c r="E17" s="9" t="str">
        <f>IF(EXACT(IFERROR(VLOOKUP(B17,' Первый релиз (05.08)'!$A$1:$A$96,1,FALSE),"нет"),B17),"Да","Нет")</f>
        <v>Да</v>
      </c>
      <c r="F17" s="9" t="str">
        <f>IF(EXACT(IFERROR(VLOOKUP(B17,'Первый релиз (04.09)'!$A$1:$A$96,1,FALSE),"нет"),B17),"Да","Нет")</f>
        <v>Нет</v>
      </c>
      <c r="G17" s="9" t="s">
        <v>15</v>
      </c>
      <c r="H17" s="24" t="s">
        <v>15</v>
      </c>
      <c r="I17" s="9"/>
      <c r="J17" s="12"/>
      <c r="K17" s="9">
        <v>115</v>
      </c>
      <c r="L17" s="62" t="str">
        <v>Частично</v>
      </c>
      <c r="M17" s="62" t="str">
        <v>Есть роль чтения и Dashboards. Проверить отчёты/экспорт под целевой ролью. LDAP-группа администратора OpenSearch получает all_access.</v>
      </c>
      <c r="N17" s="62" t="str">
        <v>ansible/roles/opensearch/defaults/main.yml:407–424, 457–467</v>
      </c>
    </row>
    <row r="18" spans="2:14" ht="210" customHeight="1">
      <c r="B18" s="10" t="s">
        <v>50</v>
      </c>
      <c r="C18" s="10" t="s">
        <v>51</v>
      </c>
      <c r="D18" s="11" t="s">
        <v>14</v>
      </c>
      <c r="E18" s="9" t="str">
        <f>IF(EXACT(IFERROR(VLOOKUP(B18,' Первый релиз (05.08)'!$A$1:$A$96,1,FALSE),"нет"),B18),"Да","Нет")</f>
        <v>Да</v>
      </c>
      <c r="F18" s="9" t="str">
        <f>IF(EXACT(IFERROR(VLOOKUP(B18,'Первый релиз (04.09)'!$A$1:$A$96,1,FALSE),"нет"),B18),"Да","Нет")</f>
        <v>Нет</v>
      </c>
      <c r="G18" s="9" t="s">
        <v>15</v>
      </c>
      <c r="H18" s="24" t="s">
        <v>15</v>
      </c>
      <c r="I18" s="9"/>
      <c r="J18" s="12"/>
      <c r="K18" s="9">
        <v>116</v>
      </c>
      <c r="L18" s="62" t="str">
        <v>Частично</v>
      </c>
      <c r="M18" s="62" t="str">
        <v>Есть admin, но полный перечень операций не испытан. Отдельно подтвердить снимок с конфигурацией, диском и памятью ВМ.</v>
      </c>
      <c r="N18" s="62" t="str">
        <v>ansible/roles/keystone/tasks/register.yml:62–70
ansible/roles/keystone/tasks/assign_ldap_roles.yml:47–68</v>
      </c>
    </row>
    <row r="19" spans="2:14" ht="45" hidden="1" customHeight="1">
      <c r="B19" s="10" t="s">
        <v>52</v>
      </c>
      <c r="C19" s="10" t="s">
        <v>53</v>
      </c>
      <c r="D19" s="11" t="s">
        <v>14</v>
      </c>
      <c r="E19" s="9" t="str">
        <f>IF(EXACT(IFERROR(VLOOKUP(B19,' Первый релиз (05.08)'!$A$1:$A$96,1,FALSE),"нет"),B19),"Да","Нет")</f>
        <v>Нет</v>
      </c>
      <c r="F19" s="9" t="str">
        <f>IF(EXACT(IFERROR(VLOOKUP(B19,'Первый релиз (04.09)'!$A$1:$A$96,1,FALSE),"нет"),B19),"Да","Нет")</f>
        <v>Нет</v>
      </c>
      <c r="G19" s="9" t="s">
        <v>21</v>
      </c>
      <c r="H19" s="9"/>
      <c r="I19" s="17"/>
      <c r="J19" s="12"/>
      <c r="K19" s="9">
        <v>117</v>
      </c>
      <c r="L19" s="62" t="str">
        <v>Вне объёма оценки</v>
      </c>
      <c r="M19" s="62" t="str">
        <v>В колонке H нет отметки «Да» для релиза 1.0. Выполнение по архиву в этой оценке не анализировалось.</v>
      </c>
      <c r="N19" s="62" t="str">
        <v>Исходный Excel, «Все требования», H19</v>
      </c>
    </row>
    <row r="20" spans="2:14" ht="80" hidden="1">
      <c r="B20" s="6" t="s">
        <v>54</v>
      </c>
      <c r="C20" s="7"/>
      <c r="D20" s="7"/>
      <c r="E20" s="8"/>
      <c r="F20" s="8"/>
      <c r="G20" s="9"/>
      <c r="I20" s="17"/>
      <c r="L20" s="62"/>
      <c r="M20" s="62"/>
      <c r="N20" s="62"/>
    </row>
    <row r="21" spans="2:14" ht="56" customHeight="1">
      <c r="B21" s="13" t="s">
        <v>55</v>
      </c>
      <c r="C21" s="13" t="s">
        <v>56</v>
      </c>
      <c r="D21" s="14" t="s">
        <v>14</v>
      </c>
      <c r="E21" s="15" t="str">
        <f>IF(EXACT(IFERROR(VLOOKUP(B21,' Первый релиз (05.08)'!$A$1:$A$96,1,FALSE),"нет"),B21),"Да","Нет")</f>
        <v>Нет</v>
      </c>
      <c r="F21" s="15" t="str">
        <f>IF(EXACT(IFERROR(VLOOKUP(B21,'Первый релиз (04.09)'!$A$1:$A$96,1,FALSE),"нет"),B21),"Да","Нет")</f>
        <v>Да</v>
      </c>
      <c r="G21" s="18" t="s">
        <v>15</v>
      </c>
      <c r="H21" s="24" t="s">
        <v>15</v>
      </c>
      <c r="I21" s="18"/>
      <c r="J21" s="16" t="s">
        <v>57</v>
      </c>
      <c r="K21" s="15">
        <v>16</v>
      </c>
      <c r="L21" s="62" t="str">
        <v>Требование к окружению</v>
      </c>
      <c r="M21" s="62" t="str">
        <v>J21 относит доступ через PAM к окружению банка без передачи требования СБТ. Нужен протокол обязательного маршрута через PAM.</v>
      </c>
      <c r="N21" s="62" t="str">
        <v>Исходный Excel; отдельные документы и протоколы не представлены</v>
      </c>
    </row>
    <row r="22" spans="2:14" ht="42" customHeight="1">
      <c r="B22" s="10" t="s">
        <v>58</v>
      </c>
      <c r="C22" s="10" t="s">
        <v>59</v>
      </c>
      <c r="D22" s="11" t="s">
        <v>14</v>
      </c>
      <c r="E22" s="9" t="str">
        <f>IF(EXACT(IFERROR(VLOOKUP(B22,' Первый релиз (05.08)'!$A$1:$A$96,1,FALSE),"нет"),B22),"Да","Нет")</f>
        <v>Да</v>
      </c>
      <c r="F22" s="9" t="str">
        <f>IF(EXACT(IFERROR(VLOOKUP(B22,'Первый релиз (04.09)'!$A$1:$A$96,1,FALSE),"нет"),B22),"Да","Нет")</f>
        <v>Да</v>
      </c>
      <c r="G22" s="9" t="s">
        <v>15</v>
      </c>
      <c r="H22" s="24" t="s">
        <v>15</v>
      </c>
      <c r="I22" s="9"/>
      <c r="J22" s="12"/>
      <c r="K22" s="9">
        <v>18</v>
      </c>
      <c r="L22" s="62" t="str">
        <v>Не подтверждено</v>
      </c>
      <c r="M22" s="62" t="str">
        <v>Запрет прямого доступа к файловому хранилищу дисков через административный UI требует испытания готового интерфейса и его роли.</v>
      </c>
      <c r="N22" s="62" t="str">
        <v>ansible/roles/horizon/templates/_9998-kolla-settings.py.j2
ansible/roles/keystone/templates/keystone-ldap-domain.conf.j2</v>
      </c>
    </row>
    <row r="23" spans="2:14" ht="42" hidden="1" customHeight="1">
      <c r="B23" s="13" t="s">
        <v>60</v>
      </c>
      <c r="C23" s="13" t="s">
        <v>61</v>
      </c>
      <c r="D23" s="14" t="s">
        <v>14</v>
      </c>
      <c r="E23" s="15" t="str">
        <f>IF(EXACT(IFERROR(VLOOKUP(B23,' Первый релиз (05.08)'!$A$1:$A$96,1,FALSE),"нет"),B23),"Да","Нет")</f>
        <v>Нет</v>
      </c>
      <c r="F23" s="15" t="str">
        <f>IF(EXACT(IFERROR(VLOOKUP(B23,'Первый релиз (04.09)'!$A$1:$A$96,1,FALSE),"нет"),B23),"Да","Нет")</f>
        <v>Да</v>
      </c>
      <c r="G23" s="15" t="s">
        <v>62</v>
      </c>
      <c r="H23" s="15"/>
      <c r="I23" s="17"/>
      <c r="J23" s="28" t="s">
        <v>63</v>
      </c>
      <c r="K23" s="15">
        <v>20</v>
      </c>
      <c r="L23" s="62" t="str">
        <v>Вне объёма оценки</v>
      </c>
      <c r="M23" s="62" t="str">
        <v>В колонке H нет отметки «Да» для релиза 1.0. Выполнение по архиву в этой оценке не анализировалось.</v>
      </c>
      <c r="N23" s="62" t="str">
        <v>Исходный Excel, «Все требования», H23</v>
      </c>
    </row>
    <row r="24" spans="2:14" ht="45" customHeight="1">
      <c r="B24" s="10" t="s">
        <v>64</v>
      </c>
      <c r="C24" s="10" t="s">
        <v>65</v>
      </c>
      <c r="D24" s="11" t="s">
        <v>14</v>
      </c>
      <c r="E24" s="9" t="str">
        <f>IF(EXACT(IFERROR(VLOOKUP(B24,' Первый релиз (05.08)'!$A$1:$A$96,1,FALSE),"нет"),B24),"Да","Нет")</f>
        <v>Да</v>
      </c>
      <c r="F24" s="9" t="str">
        <f>IF(EXACT(IFERROR(VLOOKUP(B24,'Первый релиз (04.09)'!$A$1:$A$96,1,FALSE),"нет"),B24),"Да","Нет")</f>
        <v>Да</v>
      </c>
      <c r="G24" s="9" t="s">
        <v>15</v>
      </c>
      <c r="H24" s="24" t="s">
        <v>15</v>
      </c>
      <c r="I24" s="9"/>
      <c r="J24" s="12"/>
      <c r="K24" s="9">
        <v>21</v>
      </c>
      <c r="L24" s="62" t="str">
        <v>Не подтверждено</v>
      </c>
      <c r="M24" s="62" t="str">
        <v>Проверить предел неуспешных попыток и блокировку УЗ в AD/Keystone/UI. Наличие LDAP само по себе ограничение не доказывает.</v>
      </c>
      <c r="N24" s="62" t="str">
        <v>ansible/roles/horizon/templates/_9998-kolla-settings.py.j2
ansible/roles/keystone/templates/keystone-ldap-domain.conf.j2</v>
      </c>
    </row>
    <row r="25" spans="2:14" ht="42" customHeight="1">
      <c r="B25" s="10" t="s">
        <v>66</v>
      </c>
      <c r="C25" s="10" t="s">
        <v>67</v>
      </c>
      <c r="D25" s="11" t="s">
        <v>14</v>
      </c>
      <c r="E25" s="9" t="str">
        <f>IF(EXACT(IFERROR(VLOOKUP(B25,' Первый релиз (05.08)'!$A$1:$A$96,1,FALSE),"нет"),B25),"Да","Нет")</f>
        <v>Да</v>
      </c>
      <c r="F25" s="9" t="str">
        <f>IF(EXACT(IFERROR(VLOOKUP(B25,'Первый релиз (04.09)'!$A$1:$A$96,1,FALSE),"нет"),B25),"Да","Нет")</f>
        <v>Да</v>
      </c>
      <c r="G25" s="9" t="s">
        <v>15</v>
      </c>
      <c r="H25" s="24" t="s">
        <v>15</v>
      </c>
      <c r="I25" s="9"/>
      <c r="J25" s="12"/>
      <c r="K25" s="9">
        <v>22</v>
      </c>
      <c r="L25" s="62" t="str">
        <v>Не подтверждено</v>
      </c>
      <c r="M25" s="62" t="str">
        <v>Явная настройка предела параллельных сеансов в шаблонах не найдена. Проверить готовый UI и все разрешённые способы входа.</v>
      </c>
      <c r="N25" s="62" t="str">
        <v>ansible/roles/horizon/templates/_9998-kolla-settings.py.j2
ansible/roles/keystone/templates/keystone-ldap-domain.conf.j2</v>
      </c>
    </row>
    <row r="26" spans="2:14" ht="42" customHeight="1">
      <c r="B26" s="10" t="s">
        <v>68</v>
      </c>
      <c r="C26" s="10" t="s">
        <v>69</v>
      </c>
      <c r="D26" s="11" t="s">
        <v>14</v>
      </c>
      <c r="E26" s="9" t="str">
        <f>IF(EXACT(IFERROR(VLOOKUP(B26,' Первый релиз (05.08)'!$A$1:$A$96,1,FALSE),"нет"),B26),"Да","Нет")</f>
        <v>Да</v>
      </c>
      <c r="F26" s="9" t="str">
        <f>IF(EXACT(IFERROR(VLOOKUP(B26,'Первый релиз (04.09)'!$A$1:$A$96,1,FALSE),"нет"),B26),"Да","Нет")</f>
        <v>Да</v>
      </c>
      <c r="G26" s="9" t="s">
        <v>15</v>
      </c>
      <c r="H26" s="24" t="s">
        <v>15</v>
      </c>
      <c r="I26" s="9"/>
      <c r="J26" s="12"/>
      <c r="K26" s="9">
        <v>23</v>
      </c>
      <c r="L26" s="62" t="str">
        <v>Не подтверждено</v>
      </c>
      <c r="M26" s="62" t="str">
        <v>Явный тайм-аут бездействия 15 минут в шаблонах не найден. Нужен тест готового UI; это не доказательство отсутствия функции в образе.</v>
      </c>
      <c r="N26" s="62" t="str">
        <v>ansible/roles/horizon/templates/_9998-kolla-settings.py.j2
ansible/roles/keystone/templates/keystone-ldap-domain.conf.j2</v>
      </c>
    </row>
    <row r="27" spans="2:14" ht="42" hidden="1" customHeight="1">
      <c r="B27" s="13" t="s">
        <v>70</v>
      </c>
      <c r="C27" s="13" t="s">
        <v>71</v>
      </c>
      <c r="D27" s="14" t="s">
        <v>14</v>
      </c>
      <c r="E27" s="15" t="str">
        <f>IF(EXACT(IFERROR(VLOOKUP(B27,' Первый релиз (05.08)'!$A$1:$A$96,1,FALSE),"нет"),B27),"Да","Нет")</f>
        <v>Нет</v>
      </c>
      <c r="F27" s="15" t="str">
        <f>IF(EXACT(IFERROR(VLOOKUP(B27,'Первый релиз (04.09)'!$A$1:$A$96,1,FALSE),"нет"),B27),"Да","Нет")</f>
        <v>Да</v>
      </c>
      <c r="G27" s="18" t="s">
        <v>62</v>
      </c>
      <c r="H27" s="18"/>
      <c r="I27" s="19"/>
      <c r="J27" s="16" t="s">
        <v>72</v>
      </c>
      <c r="K27" s="15">
        <v>118</v>
      </c>
      <c r="L27" s="62" t="str">
        <v>Вне объёма оценки</v>
      </c>
      <c r="M27" s="62" t="str">
        <v>В колонке H нет отметки «Да» для релиза 1.0. Выполнение по архиву в этой оценке не анализировалось.</v>
      </c>
      <c r="N27" s="62" t="str">
        <v>Исходный Excel, «Все требования», H27</v>
      </c>
    </row>
    <row r="28" spans="2:14" ht="45" customHeight="1">
      <c r="B28" s="10" t="s">
        <v>73</v>
      </c>
      <c r="C28" s="10" t="s">
        <v>74</v>
      </c>
      <c r="D28" s="11" t="s">
        <v>14</v>
      </c>
      <c r="E28" s="9" t="str">
        <f>IF(EXACT(IFERROR(VLOOKUP(B28,' Первый релиз (05.08)'!$A$1:$A$96,1,FALSE),"нет"),B28),"Да","Нет")</f>
        <v>Нет</v>
      </c>
      <c r="F28" s="9" t="str">
        <f>IF(EXACT(IFERROR(VLOOKUP(B28,'Первый релиз (04.09)'!$A$1:$A$96,1,FALSE),"нет"),B28),"Да","Нет")</f>
        <v>Да</v>
      </c>
      <c r="G28" s="9" t="s">
        <v>15</v>
      </c>
      <c r="H28" s="24" t="s">
        <v>15</v>
      </c>
      <c r="I28" s="9"/>
      <c r="J28" s="12"/>
      <c r="K28" s="9">
        <v>119</v>
      </c>
      <c r="L28" s="62" t="str">
        <v>Не подтверждено</v>
      </c>
      <c r="M28" s="62" t="str">
        <v>Нужно отдельное сопоставление и протокол по разделам 4–7 ГОСТ Р 58833–2020. По наличию AD соответствие не устанавливается.</v>
      </c>
      <c r="N28" s="62" t="str">
        <v>Исходный Excel; отдельные документы и протоколы не представлены</v>
      </c>
    </row>
    <row r="29" spans="2:14" ht="42" customHeight="1">
      <c r="B29" s="10" t="s">
        <v>75</v>
      </c>
      <c r="C29" s="10" t="s">
        <v>76</v>
      </c>
      <c r="D29" s="11" t="s">
        <v>14</v>
      </c>
      <c r="E29" s="9" t="str">
        <f>IF(EXACT(IFERROR(VLOOKUP(B29,' Первый релиз (05.08)'!$A$1:$A$96,1,FALSE),"нет"),B29),"Да","Нет")</f>
        <v>Да</v>
      </c>
      <c r="F29" s="9" t="str">
        <f>IF(EXACT(IFERROR(VLOOKUP(B29,'Первый релиз (04.09)'!$A$1:$A$96,1,FALSE),"нет"),B29),"Да","Нет")</f>
        <v>Нет</v>
      </c>
      <c r="G29" s="9" t="s">
        <v>15</v>
      </c>
      <c r="H29" s="24" t="s">
        <v>15</v>
      </c>
      <c r="I29" s="9"/>
      <c r="J29" s="12"/>
      <c r="K29" s="9">
        <v>120</v>
      </c>
      <c r="L29" s="62" t="str">
        <v>Есть механизм</v>
      </c>
      <c r="M29" s="62" t="str">
        <v>Keystone/LDAP и настройки Horizon предусматривают вход по учётным данным. Проверить целевой UI и домен.</v>
      </c>
      <c r="N29" s="62" t="str">
        <v>ansible/roles/horizon/templates/_9998-kolla-settings.py.j2
ansible/roles/keystone/templates/keystone-ldap-domain.conf.j2</v>
      </c>
    </row>
    <row r="30" spans="2:14" ht="42" hidden="1" customHeight="1">
      <c r="B30" s="10" t="s">
        <v>77</v>
      </c>
      <c r="C30" s="10" t="s">
        <v>78</v>
      </c>
      <c r="D30" s="11" t="s">
        <v>14</v>
      </c>
      <c r="E30" s="9" t="str">
        <f>IF(EXACT(IFERROR(VLOOKUP(B30,' Первый релиз (05.08)'!$A$1:$A$96,1,FALSE),"нет"),B30),"Да","Нет")</f>
        <v>Нет</v>
      </c>
      <c r="F30" s="9" t="str">
        <f>IF(EXACT(IFERROR(VLOOKUP(B30,'Первый релиз (04.09)'!$A$1:$A$96,1,FALSE),"нет"),B30),"Да","Нет")</f>
        <v>Нет</v>
      </c>
      <c r="G30" s="9" t="s">
        <v>21</v>
      </c>
      <c r="H30" s="9"/>
      <c r="I30" s="19"/>
      <c r="J30" s="12"/>
      <c r="K30" s="9">
        <v>121</v>
      </c>
      <c r="L30" s="62" t="str">
        <v>Вне объёма оценки</v>
      </c>
      <c r="M30" s="62" t="str">
        <v>В колонке H нет отметки «Да» для релиза 1.0. Выполнение по архиву в этой оценке не анализировалось.</v>
      </c>
      <c r="N30" s="62" t="str">
        <v>Исходный Excel, «Все требования», H30</v>
      </c>
    </row>
    <row r="31" spans="2:14" ht="45" hidden="1" customHeight="1">
      <c r="B31" s="10" t="s">
        <v>79</v>
      </c>
      <c r="C31" s="10" t="s">
        <v>80</v>
      </c>
      <c r="D31" s="11" t="s">
        <v>14</v>
      </c>
      <c r="E31" s="9" t="str">
        <f>IF(EXACT(IFERROR(VLOOKUP(B31,' Первый релиз (05.08)'!$A$1:$A$96,1,FALSE),"нет"),B31),"Да","Нет")</f>
        <v>Нет</v>
      </c>
      <c r="F31" s="9" t="str">
        <f>IF(EXACT(IFERROR(VLOOKUP(B31,'Первый релиз (04.09)'!$A$1:$A$96,1,FALSE),"нет"),B31),"Да","Нет")</f>
        <v>Нет</v>
      </c>
      <c r="G31" s="9" t="s">
        <v>21</v>
      </c>
      <c r="H31" s="9"/>
      <c r="I31" s="19"/>
      <c r="J31" s="12"/>
      <c r="K31" s="9">
        <v>122</v>
      </c>
      <c r="L31" s="62" t="str">
        <v>Вне объёма оценки</v>
      </c>
      <c r="M31" s="62" t="str">
        <v>В колонке H нет отметки «Да» для релиза 1.0. Выполнение по архиву в этой оценке не анализировалось.</v>
      </c>
      <c r="N31" s="62" t="str">
        <v>Исходный Excel, «Все требования», H31</v>
      </c>
    </row>
    <row r="32" spans="2:14" ht="42" hidden="1" customHeight="1">
      <c r="B32" s="10" t="s">
        <v>81</v>
      </c>
      <c r="C32" s="10" t="s">
        <v>82</v>
      </c>
      <c r="D32" s="11" t="s">
        <v>14</v>
      </c>
      <c r="E32" s="9" t="str">
        <f>IF(EXACT(IFERROR(VLOOKUP(B32,' Первый релиз (05.08)'!$A$1:$A$96,1,FALSE),"нет"),B32),"Да","Нет")</f>
        <v>Нет</v>
      </c>
      <c r="F32" s="9" t="str">
        <f>IF(EXACT(IFERROR(VLOOKUP(B32,'Первый релиз (04.09)'!$A$1:$A$96,1,FALSE),"нет"),B32),"Да","Нет")</f>
        <v>Нет</v>
      </c>
      <c r="G32" s="9" t="s">
        <v>21</v>
      </c>
      <c r="H32" s="9"/>
      <c r="I32" s="19"/>
      <c r="J32" s="12"/>
      <c r="K32" s="9">
        <v>123</v>
      </c>
      <c r="L32" s="62" t="str">
        <v>Вне объёма оценки</v>
      </c>
      <c r="M32" s="62" t="str">
        <v>В колонке H нет отметки «Да» для релиза 1.0. Выполнение по архиву в этой оценке не анализировалось.</v>
      </c>
      <c r="N32" s="62" t="str">
        <v>Исходный Excel, «Все требования», H32</v>
      </c>
    </row>
    <row r="33" spans="2:14" ht="42" customHeight="1">
      <c r="B33" s="10" t="s">
        <v>83</v>
      </c>
      <c r="C33" s="10" t="s">
        <v>84</v>
      </c>
      <c r="D33" s="11" t="s">
        <v>14</v>
      </c>
      <c r="E33" s="9" t="str">
        <f>IF(EXACT(IFERROR(VLOOKUP(B33,' Первый релиз (05.08)'!$A$1:$A$96,1,FALSE),"нет"),B33),"Да","Нет")</f>
        <v>Да</v>
      </c>
      <c r="F33" s="9" t="str">
        <f>IF(EXACT(IFERROR(VLOOKUP(B33,'Первый релиз (04.09)'!$A$1:$A$96,1,FALSE),"нет"),B33),"Да","Нет")</f>
        <v>Нет</v>
      </c>
      <c r="G33" s="9" t="s">
        <v>15</v>
      </c>
      <c r="H33" s="24" t="s">
        <v>15</v>
      </c>
      <c r="I33" s="9"/>
      <c r="J33" s="12"/>
      <c r="K33" s="9">
        <v>124</v>
      </c>
      <c r="L33" s="62" t="str">
        <v>Не подтверждено</v>
      </c>
      <c r="M33" s="62" t="str">
        <v>Проверить текст сообщения и повторный ввод при неверных данных в готовом UI. Исходный код формы в Kolla-архиве не представлен.</v>
      </c>
      <c r="N33" s="62" t="str">
        <v>ansible/roles/horizon/templates/_9998-kolla-settings.py.j2
ansible/roles/keystone/templates/keystone-ldap-domain.conf.j2</v>
      </c>
    </row>
    <row r="34" spans="2:14" ht="75" hidden="1" customHeight="1">
      <c r="B34" s="10" t="s">
        <v>85</v>
      </c>
      <c r="C34" s="10" t="s">
        <v>86</v>
      </c>
      <c r="D34" s="11" t="s">
        <v>14</v>
      </c>
      <c r="E34" s="9" t="str">
        <f>IF(EXACT(IFERROR(VLOOKUP(B34,' Первый релиз (05.08)'!$A$1:$A$96,1,FALSE),"нет"),B34),"Да","Нет")</f>
        <v>Нет</v>
      </c>
      <c r="F34" s="9" t="str">
        <f>IF(EXACT(IFERROR(VLOOKUP(B34,'Первый релиз (04.09)'!$A$1:$A$96,1,FALSE),"нет"),B34),"Да","Нет")</f>
        <v>Нет</v>
      </c>
      <c r="G34" s="9" t="s">
        <v>21</v>
      </c>
      <c r="H34" s="9"/>
      <c r="I34" s="19"/>
      <c r="J34" s="12"/>
      <c r="K34" s="9">
        <v>125</v>
      </c>
      <c r="L34" s="62" t="str">
        <v>Вне объёма оценки</v>
      </c>
      <c r="M34" s="62" t="str">
        <v>В колонке H нет отметки «Да» для релиза 1.0. Выполнение по архиву в этой оценке не анализировалось.</v>
      </c>
      <c r="N34" s="62" t="str">
        <v>Исходный Excel, «Все требования», H34</v>
      </c>
    </row>
    <row r="35" spans="2:14" ht="42" customHeight="1">
      <c r="B35" s="10" t="s">
        <v>87</v>
      </c>
      <c r="C35" s="10" t="s">
        <v>88</v>
      </c>
      <c r="D35" s="11" t="s">
        <v>14</v>
      </c>
      <c r="E35" s="9" t="str">
        <f>IF(EXACT(IFERROR(VLOOKUP(B35,' Первый релиз (05.08)'!$A$1:$A$96,1,FALSE),"нет"),B35),"Да","Нет")</f>
        <v>Да</v>
      </c>
      <c r="F35" s="9" t="str">
        <f>IF(EXACT(IFERROR(VLOOKUP(B35,'Первый релиз (04.09)'!$A$1:$A$96,1,FALSE),"нет"),B35),"Да","Нет")</f>
        <v>Да</v>
      </c>
      <c r="G35" s="9" t="s">
        <v>15</v>
      </c>
      <c r="H35" s="24" t="s">
        <v>15</v>
      </c>
      <c r="I35" s="9"/>
      <c r="J35" s="12"/>
      <c r="K35" s="9">
        <v>126</v>
      </c>
      <c r="L35" s="62" t="str">
        <v>Не подтверждено</v>
      </c>
      <c r="M35" s="62" t="str">
        <v>Маскирование пароля при вводе проверить в готовом UI. Kolla-шаблоны не доказывают поведение поля ввода в образе.</v>
      </c>
      <c r="N35" s="62" t="str">
        <v>ansible/roles/horizon/templates/_9998-kolla-settings.py.j2
ansible/roles/keystone/templates/keystone-ldap-domain.conf.j2</v>
      </c>
    </row>
    <row r="36" spans="2:14" ht="48" hidden="1">
      <c r="B36" s="6" t="s">
        <v>89</v>
      </c>
      <c r="C36" s="7"/>
      <c r="D36" s="7"/>
      <c r="E36" s="8"/>
      <c r="F36" s="8"/>
      <c r="G36" s="9"/>
      <c r="I36" s="19"/>
      <c r="L36" s="62"/>
      <c r="M36" s="62"/>
      <c r="N36" s="62"/>
    </row>
    <row r="37" spans="2:14" ht="75" customHeight="1">
      <c r="B37" s="10" t="s">
        <v>90</v>
      </c>
      <c r="C37" s="10" t="s">
        <v>91</v>
      </c>
      <c r="D37" s="11" t="s">
        <v>14</v>
      </c>
      <c r="E37" s="9" t="str">
        <f>IF(EXACT(IFERROR(VLOOKUP(B37,' Первый релиз (05.08)'!$A$1:$A$96,1,FALSE),"нет"),B37),"Да","Нет")</f>
        <v>Да</v>
      </c>
      <c r="F37" s="9" t="str">
        <f>IF(EXACT(IFERROR(VLOOKUP(B37,'Первый релиз (04.09)'!$A$1:$A$96,1,FALSE),"нет"),B37),"Да","Нет")</f>
        <v>Да</v>
      </c>
      <c r="G37" s="9" t="s">
        <v>15</v>
      </c>
      <c r="H37" s="24" t="s">
        <v>15</v>
      </c>
      <c r="I37" s="9"/>
      <c r="J37" s="12"/>
      <c r="K37" s="9">
        <v>24</v>
      </c>
      <c r="L37" s="62" t="str">
        <v>Частично; разрыв</v>
      </c>
      <c r="M37" s="62" t="str">
        <v>Есть mTLS для ряда каналов. OpenSearch HAProxy-backend использует ssl verify none. Общие TLS/mTLS-флаги выключены по умолчанию; проверить все потоки и авторизацию.</v>
      </c>
      <c r="N37" s="62" t="str">
        <v>ansible/roles/opensearch/defaults/main.yml:63
ansible/roles/haproxy-config/templates/haproxy_single_service_split.cfg.j2:92–111</v>
      </c>
    </row>
    <row r="38" spans="2:14" ht="42" hidden="1" customHeight="1">
      <c r="B38" s="13" t="s">
        <v>92</v>
      </c>
      <c r="C38" s="13" t="s">
        <v>93</v>
      </c>
      <c r="D38" s="14" t="s">
        <v>14</v>
      </c>
      <c r="E38" s="15" t="str">
        <f>IF(EXACT(IFERROR(VLOOKUP(B38,' Первый релиз (05.08)'!$A$1:$A$96,1,FALSE),"нет"),B38),"Да","Нет")</f>
        <v>Нет</v>
      </c>
      <c r="F38" s="15" t="str">
        <f>IF(EXACT(IFERROR(VLOOKUP(B38,'Первый релиз (04.09)'!$A$1:$A$96,1,FALSE),"нет"),B38),"Да","Нет")</f>
        <v>Да</v>
      </c>
      <c r="G38" s="18" t="s">
        <v>62</v>
      </c>
      <c r="H38" s="18"/>
      <c r="I38" s="19"/>
      <c r="J38" s="16" t="s">
        <v>94</v>
      </c>
      <c r="K38" s="15">
        <v>25</v>
      </c>
      <c r="L38" s="62" t="str">
        <v>Вне объёма оценки</v>
      </c>
      <c r="M38" s="62" t="str">
        <v>В колонке H нет отметки «Да» для релиза 1.0. Выполнение по архиву в этой оценке не анализировалось.</v>
      </c>
      <c r="N38" s="62" t="str">
        <v>Исходный Excel, «Все требования», H38</v>
      </c>
    </row>
    <row r="39" spans="2:14" ht="42" customHeight="1">
      <c r="B39" s="10" t="s">
        <v>95</v>
      </c>
      <c r="C39" s="10" t="s">
        <v>96</v>
      </c>
      <c r="D39" s="11" t="s">
        <v>14</v>
      </c>
      <c r="E39" s="9" t="str">
        <f>IF(EXACT(IFERROR(VLOOKUP(B39,' Первый релиз (05.08)'!$A$1:$A$96,1,FALSE),"нет"),B39),"Да","Нет")</f>
        <v>Да</v>
      </c>
      <c r="F39" s="9" t="str">
        <f>IF(EXACT(IFERROR(VLOOKUP(B39,'Первый релиз (04.09)'!$A$1:$A$96,1,FALSE),"нет"),B39),"Да","Нет")</f>
        <v>Да</v>
      </c>
      <c r="G39" s="9" t="s">
        <v>15</v>
      </c>
      <c r="H39" s="24" t="s">
        <v>15</v>
      </c>
      <c r="I39" s="9"/>
      <c r="J39" s="12"/>
      <c r="K39" s="9">
        <v>29</v>
      </c>
      <c r="L39" s="62" t="str">
        <v>Есть механизм</v>
      </c>
      <c r="M39" s="62" t="str">
        <v>Neutron Security Groups. Испытать изоляцию ВМ, включая две ВМ в одном сегменте и смену узла размещения.</v>
      </c>
      <c r="N39" s="62" t="str">
        <v>ansible/roles/neutron/templates/openvswitch_agent.ini.j2:13–14
ansible/roles/host-firewall/vars/catalog.yml</v>
      </c>
    </row>
    <row r="40" spans="2:14" ht="42" customHeight="1">
      <c r="B40" s="10" t="s">
        <v>97</v>
      </c>
      <c r="C40" s="10" t="s">
        <v>98</v>
      </c>
      <c r="D40" s="11" t="s">
        <v>14</v>
      </c>
      <c r="E40" s="9" t="str">
        <f>IF(EXACT(IFERROR(VLOOKUP(B40,' Первый релиз (05.08)'!$A$1:$A$96,1,FALSE),"нет"),B40),"Да","Нет")</f>
        <v>Да</v>
      </c>
      <c r="F40" s="9" t="str">
        <f>IF(EXACT(IFERROR(VLOOKUP(B40,'Первый релиз (04.09)'!$A$1:$A$96,1,FALSE),"нет"),B40),"Да","Нет")</f>
        <v>Да</v>
      </c>
      <c r="G40" s="9" t="s">
        <v>15</v>
      </c>
      <c r="H40" s="24" t="s">
        <v>15</v>
      </c>
      <c r="I40" s="9"/>
      <c r="J40" s="12"/>
      <c r="K40" s="9">
        <v>31</v>
      </c>
      <c r="L40" s="62" t="str">
        <v>Есть механизм</v>
      </c>
      <c r="M40" s="62" t="str">
        <v>Есть базовые фильтры ВМ и host firewall. Проверить создание правила для отдельного узла в согласованном контуре.</v>
      </c>
      <c r="N40" s="62" t="str">
        <v>ansible/roles/neutron/templates/openvswitch_agent.ini.j2:13–14
ansible/roles/host-firewall/vars/catalog.yml</v>
      </c>
    </row>
    <row r="41" spans="2:14" ht="42" customHeight="1">
      <c r="B41" s="10" t="s">
        <v>99</v>
      </c>
      <c r="C41" s="10" t="s">
        <v>100</v>
      </c>
      <c r="D41" s="11" t="s">
        <v>14</v>
      </c>
      <c r="E41" s="9" t="str">
        <f>IF(EXACT(IFERROR(VLOOKUP(B41,' Первый релиз (05.08)'!$A$1:$A$96,1,FALSE),"нет"),B41),"Да","Нет")</f>
        <v>Да</v>
      </c>
      <c r="F41" s="9" t="str">
        <f>IF(EXACT(IFERROR(VLOOKUP(B41,'Первый релиз (04.09)'!$A$1:$A$96,1,FALSE),"нет"),B41),"Да","Нет")</f>
        <v>Да</v>
      </c>
      <c r="G41" s="9" t="s">
        <v>15</v>
      </c>
      <c r="H41" s="24" t="s">
        <v>15</v>
      </c>
      <c r="I41" s="9"/>
      <c r="J41" s="12"/>
      <c r="K41" s="9">
        <v>32</v>
      </c>
      <c r="L41" s="62" t="str">
        <v>Частично</v>
      </c>
      <c r="M41" s="62" t="str">
        <v>Есть Security Groups и группы inventory. Подтвердить требуемую групповую операцию без смешения правил ВМ и узлов инфраструктуры.</v>
      </c>
      <c r="N41" s="62" t="str">
        <v>ansible/roles/neutron/templates/openvswitch_agent.ini.j2:13–14
ansible/roles/host-firewall/vars/catalog.yml</v>
      </c>
    </row>
    <row r="42" spans="2:14" ht="42" customHeight="1">
      <c r="B42" s="10" t="s">
        <v>101</v>
      </c>
      <c r="C42" s="10" t="s">
        <v>102</v>
      </c>
      <c r="D42" s="11" t="s">
        <v>14</v>
      </c>
      <c r="E42" s="9" t="str">
        <f>IF(EXACT(IFERROR(VLOOKUP(B42,' Первый релиз (05.08)'!$A$1:$A$96,1,FALSE),"нет"),B42),"Да","Нет")</f>
        <v>Да</v>
      </c>
      <c r="F42" s="9" t="str">
        <f>IF(EXACT(IFERROR(VLOOKUP(B42,'Первый релиз (04.09)'!$A$1:$A$96,1,FALSE),"нет"),B42),"Да","Нет")</f>
        <v>Да</v>
      </c>
      <c r="G42" s="9" t="s">
        <v>15</v>
      </c>
      <c r="H42" s="24" t="s">
        <v>15</v>
      </c>
      <c r="I42" s="9"/>
      <c r="J42" s="12"/>
      <c r="K42" s="9">
        <v>33</v>
      </c>
      <c r="L42" s="62" t="str">
        <v>Есть механизм</v>
      </c>
      <c r="M42" s="62" t="str">
        <v>Security Groups применяются к портам ВМ. Проверить конкретный интерфейс и независимость правил других интерфейсов.</v>
      </c>
      <c r="N42" s="62" t="str">
        <v>ansible/roles/neutron/templates/openvswitch_agent.ini.j2:13–14
ansible/roles/host-firewall/vars/catalog.yml</v>
      </c>
    </row>
    <row r="43" spans="2:14" ht="42" customHeight="1">
      <c r="B43" s="10" t="s">
        <v>103</v>
      </c>
      <c r="C43" s="10" t="s">
        <v>104</v>
      </c>
      <c r="D43" s="11" t="s">
        <v>14</v>
      </c>
      <c r="E43" s="9" t="str">
        <f>IF(EXACT(IFERROR(VLOOKUP(B43,' Первый релиз (05.08)'!$A$1:$A$96,1,FALSE),"нет"),B43),"Да","Нет")</f>
        <v>Да</v>
      </c>
      <c r="F43" s="9" t="str">
        <f>IF(EXACT(IFERROR(VLOOKUP(B43,'Первый релиз (04.09)'!$A$1:$A$96,1,FALSE),"нет"),B43),"Да","Нет")</f>
        <v>Да</v>
      </c>
      <c r="G43" s="9" t="s">
        <v>15</v>
      </c>
      <c r="H43" s="24" t="s">
        <v>15</v>
      </c>
      <c r="I43" s="9"/>
      <c r="J43" s="12"/>
      <c r="K43" s="9">
        <v>34</v>
      </c>
      <c r="L43" s="62" t="str">
        <v>Частично</v>
      </c>
      <c r="M43" s="62" t="str">
        <v>Базовая фильтрация есть. Испытать применение правила ко всем нужным интерфейсам выбранной группы узлов.</v>
      </c>
      <c r="N43" s="62" t="str">
        <v>ansible/roles/neutron/templates/openvswitch_agent.ini.j2:13–14
ansible/roles/host-firewall/vars/catalog.yml</v>
      </c>
    </row>
    <row r="44" spans="2:14" ht="42" customHeight="1">
      <c r="B44" s="10" t="s">
        <v>105</v>
      </c>
      <c r="C44" s="10" t="s">
        <v>106</v>
      </c>
      <c r="D44" s="11" t="s">
        <v>14</v>
      </c>
      <c r="E44" s="9" t="str">
        <f>IF(EXACT(IFERROR(VLOOKUP(B44,' Первый релиз (05.08)'!$A$1:$A$96,1,FALSE),"нет"),B44),"Да","Нет")</f>
        <v>Да</v>
      </c>
      <c r="F44" s="9" t="str">
        <f>IF(EXACT(IFERROR(VLOOKUP(B44,'Первый релиз (04.09)'!$A$1:$A$96,1,FALSE),"нет"),B44),"Да","Нет")</f>
        <v>Да</v>
      </c>
      <c r="G44" s="9" t="s">
        <v>15</v>
      </c>
      <c r="H44" s="24" t="s">
        <v>15</v>
      </c>
      <c r="I44" s="9"/>
      <c r="J44" s="12"/>
      <c r="K44" s="9">
        <v>35</v>
      </c>
      <c r="L44" s="62" t="str">
        <v>Частично</v>
      </c>
      <c r="M44" s="62" t="str">
        <v>Есть отчёт host firewall. Проверить просмотр эффективных правил отдельного узла в целевом API/UI.</v>
      </c>
      <c r="N44" s="62" t="str">
        <v>ansible/action_plugins/kolla_firewall_admission.py
ansible/roles/host-firewall/tasks/</v>
      </c>
    </row>
    <row r="45" spans="2:14" ht="42" customHeight="1">
      <c r="B45" s="10" t="s">
        <v>107</v>
      </c>
      <c r="C45" s="10" t="s">
        <v>108</v>
      </c>
      <c r="D45" s="11" t="s">
        <v>14</v>
      </c>
      <c r="E45" s="9" t="str">
        <f>IF(EXACT(IFERROR(VLOOKUP(B45,' Первый релиз (05.08)'!$A$1:$A$96,1,FALSE),"нет"),B45),"Да","Нет")</f>
        <v>Да</v>
      </c>
      <c r="F45" s="9" t="str">
        <f>IF(EXACT(IFERROR(VLOOKUP(B45,'Первый релиз (04.09)'!$A$1:$A$96,1,FALSE),"нет"),B45),"Да","Нет")</f>
        <v>Да</v>
      </c>
      <c r="G45" s="9" t="s">
        <v>15</v>
      </c>
      <c r="H45" s="24" t="s">
        <v>15</v>
      </c>
      <c r="I45" s="9"/>
      <c r="J45" s="12"/>
      <c r="K45" s="9">
        <v>36</v>
      </c>
      <c r="L45" s="62" t="str">
        <v>Частично</v>
      </c>
      <c r="M45" s="62" t="str">
        <v>Есть отчёт по inventory. Проверить групповой просмотр с однозначной привязкой каждого правила к узлу.</v>
      </c>
      <c r="N45" s="62" t="str">
        <v>ansible/action_plugins/kolla_firewall_admission.py
ansible/roles/host-firewall/tasks/</v>
      </c>
    </row>
    <row r="46" spans="2:14" ht="42" customHeight="1">
      <c r="B46" s="10" t="s">
        <v>109</v>
      </c>
      <c r="C46" s="10" t="s">
        <v>110</v>
      </c>
      <c r="D46" s="11" t="s">
        <v>14</v>
      </c>
      <c r="E46" s="9" t="str">
        <f>IF(EXACT(IFERROR(VLOOKUP(B46,' Первый релиз (05.08)'!$A$1:$A$96,1,FALSE),"нет"),B46),"Да","Нет")</f>
        <v>Да</v>
      </c>
      <c r="F46" s="9" t="str">
        <f>IF(EXACT(IFERROR(VLOOKUP(B46,'Первый релиз (04.09)'!$A$1:$A$96,1,FALSE),"нет"),B46),"Да","Нет")</f>
        <v>Да</v>
      </c>
      <c r="G46" s="9" t="s">
        <v>15</v>
      </c>
      <c r="H46" s="24" t="s">
        <v>15</v>
      </c>
      <c r="I46" s="9"/>
      <c r="J46" s="12"/>
      <c r="K46" s="9">
        <v>37</v>
      </c>
      <c r="L46" s="62" t="str">
        <v>Не подтверждено</v>
      </c>
      <c r="M46" s="62" t="str">
        <v>Откат firewall не доказывает отключение отдельного правила с сохранением его определения. Нужен целевой сценарий.</v>
      </c>
      <c r="N46" s="62" t="str">
        <v>ansible/action_plugins/kolla_firewall_admission.py
ansible/roles/host-firewall/tasks/</v>
      </c>
    </row>
    <row r="47" spans="2:14" ht="42" customHeight="1">
      <c r="B47" s="10" t="s">
        <v>111</v>
      </c>
      <c r="C47" s="10" t="s">
        <v>112</v>
      </c>
      <c r="D47" s="11" t="s">
        <v>14</v>
      </c>
      <c r="E47" s="9" t="str">
        <f>IF(EXACT(IFERROR(VLOOKUP(B47,' Первый релиз (05.08)'!$A$1:$A$96,1,FALSE),"нет"),B47),"Да","Нет")</f>
        <v>Да</v>
      </c>
      <c r="F47" s="9" t="str">
        <f>IF(EXACT(IFERROR(VLOOKUP(B47,'Первый релиз (04.09)'!$A$1:$A$96,1,FALSE),"нет"),B47),"Да","Нет")</f>
        <v>Да</v>
      </c>
      <c r="G47" s="9" t="s">
        <v>15</v>
      </c>
      <c r="H47" s="24" t="s">
        <v>15</v>
      </c>
      <c r="I47" s="9"/>
      <c r="J47" s="12"/>
      <c r="K47" s="9">
        <v>38</v>
      </c>
      <c r="L47" s="62" t="str">
        <v>Не подтверждено</v>
      </c>
      <c r="M47" s="62" t="str">
        <v>Проверить групповое отключение правил с сохранением определений. Наличие rollback не закрывает этот сценарий.</v>
      </c>
      <c r="N47" s="62" t="str">
        <v>ansible/action_plugins/kolla_firewall_admission.py
ansible/roles/host-firewall/tasks/</v>
      </c>
    </row>
    <row r="48" spans="2:14" ht="45" hidden="1" customHeight="1">
      <c r="B48" s="10" t="s">
        <v>113</v>
      </c>
      <c r="C48" s="10" t="s">
        <v>114</v>
      </c>
      <c r="D48" s="11" t="s">
        <v>14</v>
      </c>
      <c r="E48" s="9" t="str">
        <f>IF(EXACT(IFERROR(VLOOKUP(B48,' Первый релиз (05.08)'!$A$1:$A$96,1,FALSE),"нет"),B48),"Да","Нет")</f>
        <v>Нет</v>
      </c>
      <c r="F48" s="9" t="str">
        <f>IF(EXACT(IFERROR(VLOOKUP(B48,'Первый релиз (04.09)'!$A$1:$A$96,1,FALSE),"нет"),B48),"Да","Нет")</f>
        <v>Да</v>
      </c>
      <c r="G48" s="9" t="s">
        <v>21</v>
      </c>
      <c r="H48" s="9"/>
      <c r="I48" s="19"/>
      <c r="J48" s="12"/>
      <c r="K48" s="9">
        <v>39</v>
      </c>
      <c r="L48" s="62" t="str">
        <v>Вне объёма оценки</v>
      </c>
      <c r="M48" s="62" t="str">
        <v>В колонке H нет отметки «Да» для релиза 1.0. Выполнение по архиву в этой оценке не анализировалось.</v>
      </c>
      <c r="N48" s="62" t="str">
        <v>Исходный Excel, «Все требования», H48</v>
      </c>
    </row>
    <row r="49" spans="2:14" ht="42" customHeight="1">
      <c r="B49" s="10" t="s">
        <v>115</v>
      </c>
      <c r="C49" s="10" t="s">
        <v>116</v>
      </c>
      <c r="D49" s="11" t="s">
        <v>14</v>
      </c>
      <c r="E49" s="9" t="str">
        <f>IF(EXACT(IFERROR(VLOOKUP(B49,' Первый релиз (05.08)'!$A$1:$A$96,1,FALSE),"нет"),B49),"Да","Нет")</f>
        <v>Да</v>
      </c>
      <c r="F49" s="9" t="str">
        <f>IF(EXACT(IFERROR(VLOOKUP(B49,'Первый релиз (04.09)'!$A$1:$A$96,1,FALSE),"нет"),B49),"Да","Нет")</f>
        <v>Да</v>
      </c>
      <c r="G49" s="9" t="s">
        <v>15</v>
      </c>
      <c r="H49" s="24" t="s">
        <v>15</v>
      </c>
      <c r="I49" s="9"/>
      <c r="J49" s="12"/>
      <c r="K49" s="9">
        <v>40</v>
      </c>
      <c r="L49" s="62" t="str">
        <v>Частично</v>
      </c>
      <c r="M49" s="62" t="str">
        <v>Испытать разрешение/запрет обмена между двумя узлами независимо от TCP/UDP-портов.</v>
      </c>
      <c r="N49" s="62" t="str">
        <v>ansible/roles/neutron/templates/openvswitch_agent.ini.j2:13–14
ansible/roles/host-firewall/vars/catalog.yml</v>
      </c>
    </row>
    <row r="50" spans="2:14" ht="42" customHeight="1">
      <c r="B50" s="10" t="s">
        <v>117</v>
      </c>
      <c r="C50" s="10" t="s">
        <v>118</v>
      </c>
      <c r="D50" s="11" t="s">
        <v>14</v>
      </c>
      <c r="E50" s="9" t="str">
        <f>IF(EXACT(IFERROR(VLOOKUP(B50,' Первый релиз (05.08)'!$A$1:$A$96,1,FALSE),"нет"),B50),"Да","Нет")</f>
        <v>Да</v>
      </c>
      <c r="F50" s="9" t="str">
        <f>IF(EXACT(IFERROR(VLOOKUP(B50,'Первый релиз (04.09)'!$A$1:$A$96,1,FALSE),"нет"),B50),"Да","Нет")</f>
        <v>Да</v>
      </c>
      <c r="G50" s="9" t="s">
        <v>15</v>
      </c>
      <c r="H50" s="24" t="s">
        <v>15</v>
      </c>
      <c r="I50" s="9"/>
      <c r="J50" s="12"/>
      <c r="K50" s="9">
        <v>41</v>
      </c>
      <c r="L50" s="62" t="str">
        <v>Частично</v>
      </c>
      <c r="M50" s="62" t="str">
        <v>Испытать разрешение/запрет обмена между группами узлов независимо от TCP/UDP-портов.</v>
      </c>
      <c r="N50" s="62" t="str">
        <v>ansible/roles/neutron/templates/openvswitch_agent.ini.j2:13–14
ansible/roles/host-firewall/vars/catalog.yml</v>
      </c>
    </row>
    <row r="51" spans="2:14" ht="42" customHeight="1">
      <c r="B51" s="10" t="s">
        <v>119</v>
      </c>
      <c r="C51" s="10" t="s">
        <v>120</v>
      </c>
      <c r="D51" s="11" t="s">
        <v>14</v>
      </c>
      <c r="E51" s="9" t="str">
        <f>IF(EXACT(IFERROR(VLOOKUP(B51,' Первый релиз (05.08)'!$A$1:$A$96,1,FALSE),"нет"),B51),"Да","Нет")</f>
        <v>Да</v>
      </c>
      <c r="F51" s="9" t="str">
        <f>IF(EXACT(IFERROR(VLOOKUP(B51,'Первый релиз (04.09)'!$A$1:$A$96,1,FALSE),"нет"),B51),"Да","Нет")</f>
        <v>Да</v>
      </c>
      <c r="G51" s="9" t="s">
        <v>15</v>
      </c>
      <c r="H51" s="24" t="s">
        <v>15</v>
      </c>
      <c r="I51" s="9"/>
      <c r="J51" s="12"/>
      <c r="K51" s="9">
        <v>42</v>
      </c>
      <c r="L51" s="62" t="str">
        <v>Есть механизм</v>
      </c>
      <c r="M51" s="62" t="str">
        <v>Есть фильтрация TCP/UDP-портов. Проверить положительные и отрицательные сценарии на ВМ.</v>
      </c>
      <c r="N51" s="62" t="str">
        <v>ansible/roles/neutron/templates/openvswitch_agent.ini.j2:13–14
ansible/roles/host-firewall/vars/catalog.yml</v>
      </c>
    </row>
    <row r="52" spans="2:14" ht="42" customHeight="1">
      <c r="B52" s="10" t="s">
        <v>121</v>
      </c>
      <c r="C52" s="10" t="s">
        <v>122</v>
      </c>
      <c r="D52" s="11" t="s">
        <v>14</v>
      </c>
      <c r="E52" s="9" t="str">
        <f>IF(EXACT(IFERROR(VLOOKUP(B52,' Первый релиз (05.08)'!$A$1:$A$96,1,FALSE),"нет"),B52),"Да","Нет")</f>
        <v>Нет</v>
      </c>
      <c r="F52" s="9" t="str">
        <f>IF(EXACT(IFERROR(VLOOKUP(B52,'Первый релиз (04.09)'!$A$1:$A$96,1,FALSE),"нет"),B52),"Да","Нет")</f>
        <v>Да</v>
      </c>
      <c r="G52" s="9" t="s">
        <v>15</v>
      </c>
      <c r="H52" s="24" t="s">
        <v>15</v>
      </c>
      <c r="I52" s="9"/>
      <c r="J52" s="12"/>
      <c r="K52" s="9">
        <v>43</v>
      </c>
      <c r="L52" s="62" t="str">
        <v>Есть механизм</v>
      </c>
      <c r="M52" s="62" t="str">
        <v>Есть базовая фильтрация. Проверить требуемый набор сетевых протоколов, включая нетиповые для TCP/UDP.</v>
      </c>
      <c r="N52" s="62" t="str">
        <v>ansible/roles/neutron/templates/openvswitch_agent.ini.j2:13–14
ansible/roles/host-firewall/vars/catalog.yml</v>
      </c>
    </row>
    <row r="53" spans="2:14" ht="42" hidden="1" customHeight="1">
      <c r="B53" s="10" t="s">
        <v>123</v>
      </c>
      <c r="C53" s="10" t="s">
        <v>124</v>
      </c>
      <c r="D53" s="11" t="s">
        <v>14</v>
      </c>
      <c r="E53" s="9" t="str">
        <f>IF(EXACT(IFERROR(VLOOKUP(B53,' Первый релиз (05.08)'!$A$1:$A$96,1,FALSE),"нет"),B53),"Да","Нет")</f>
        <v>Нет</v>
      </c>
      <c r="F53" s="9" t="str">
        <f>IF(EXACT(IFERROR(VLOOKUP(B53,'Первый релиз (04.09)'!$A$1:$A$96,1,FALSE),"нет"),B53),"Да","Нет")</f>
        <v>Нет</v>
      </c>
      <c r="G53" s="9" t="s">
        <v>21</v>
      </c>
      <c r="H53" s="9"/>
      <c r="I53" s="19"/>
      <c r="J53" s="12"/>
      <c r="K53" s="9">
        <v>44</v>
      </c>
      <c r="L53" s="62" t="str">
        <v>Вне объёма оценки</v>
      </c>
      <c r="M53" s="62" t="str">
        <v>В колонке H нет отметки «Да» для релиза 1.0. Выполнение по архиву в этой оценке не анализировалось.</v>
      </c>
      <c r="N53" s="62" t="str">
        <v>Исходный Excel, «Все требования», H53</v>
      </c>
    </row>
    <row r="54" spans="2:14" ht="42" hidden="1" customHeight="1">
      <c r="B54" s="10" t="s">
        <v>125</v>
      </c>
      <c r="C54" s="10" t="s">
        <v>126</v>
      </c>
      <c r="D54" s="11" t="s">
        <v>14</v>
      </c>
      <c r="E54" s="9" t="str">
        <f>IF(EXACT(IFERROR(VLOOKUP(B54,' Первый релиз (05.08)'!$A$1:$A$96,1,FALSE),"нет"),B54),"Да","Нет")</f>
        <v>Нет</v>
      </c>
      <c r="F54" s="9" t="str">
        <f>IF(EXACT(IFERROR(VLOOKUP(B54,'Первый релиз (04.09)'!$A$1:$A$96,1,FALSE),"нет"),B54),"Да","Нет")</f>
        <v>Нет</v>
      </c>
      <c r="G54" s="9" t="s">
        <v>21</v>
      </c>
      <c r="H54" s="9"/>
      <c r="I54" s="19"/>
      <c r="J54" s="12"/>
      <c r="K54" s="9">
        <v>45</v>
      </c>
      <c r="L54" s="62" t="str">
        <v>Вне объёма оценки</v>
      </c>
      <c r="M54" s="62" t="str">
        <v>В колонке H нет отметки «Да» для релиза 1.0. Выполнение по архиву в этой оценке не анализировалось.</v>
      </c>
      <c r="N54" s="62" t="str">
        <v>Исходный Excel, «Все требования», H54</v>
      </c>
    </row>
    <row r="55" spans="2:14" ht="42" customHeight="1">
      <c r="B55" s="10" t="s">
        <v>127</v>
      </c>
      <c r="C55" s="10" t="s">
        <v>128</v>
      </c>
      <c r="D55" s="11" t="s">
        <v>14</v>
      </c>
      <c r="E55" s="9" t="str">
        <f>IF(EXACT(IFERROR(VLOOKUP(B55,' Первый релиз (05.08)'!$A$1:$A$96,1,FALSE),"нет"),B55),"Да","Нет")</f>
        <v>Да</v>
      </c>
      <c r="F55" s="9" t="str">
        <f>IF(EXACT(IFERROR(VLOOKUP(B55,'Первый релиз (04.09)'!$A$1:$A$96,1,FALSE),"нет"),B55),"Да","Нет")</f>
        <v>Да</v>
      </c>
      <c r="G55" s="9" t="s">
        <v>15</v>
      </c>
      <c r="H55" s="24" t="s">
        <v>15</v>
      </c>
      <c r="I55" s="9"/>
      <c r="J55" s="12"/>
      <c r="K55" s="9">
        <v>127</v>
      </c>
      <c r="L55" s="62" t="str">
        <v>Не подтверждено</v>
      </c>
      <c r="M55" s="62" t="str">
        <v>Поддержку адресации IPv6 нельзя приравнивать к испытанной фильтрации. Нужны разрешённые и запрещённые IPv6-потоки.</v>
      </c>
      <c r="N55" s="62" t="str">
        <v>ansible/roles/neutron/templates/openvswitch_agent.ini.j2:13–14
ansible/roles/host-firewall/vars/catalog.yml</v>
      </c>
    </row>
    <row r="56" spans="2:14" ht="42" hidden="1" customHeight="1">
      <c r="B56" s="10" t="s">
        <v>129</v>
      </c>
      <c r="C56" s="10" t="s">
        <v>130</v>
      </c>
      <c r="D56" s="11" t="s">
        <v>14</v>
      </c>
      <c r="E56" s="9" t="str">
        <f>IF(EXACT(IFERROR(VLOOKUP(B56,' Первый релиз (05.08)'!$A$1:$A$96,1,FALSE),"нет"),B56),"Да","Нет")</f>
        <v>Нет</v>
      </c>
      <c r="F56" s="9" t="str">
        <f>IF(EXACT(IFERROR(VLOOKUP(B56,'Первый релиз (04.09)'!$A$1:$A$96,1,FALSE),"нет"),B56),"Да","Нет")</f>
        <v>Нет</v>
      </c>
      <c r="G56" s="9" t="s">
        <v>21</v>
      </c>
      <c r="H56" s="9"/>
      <c r="I56" s="19"/>
      <c r="J56" s="12"/>
      <c r="K56" s="9">
        <v>128</v>
      </c>
      <c r="L56" s="62" t="str">
        <v>Вне объёма оценки</v>
      </c>
      <c r="M56" s="62" t="str">
        <v>В колонке H нет отметки «Да» для релиза 1.0. Выполнение по архиву в этой оценке не анализировалось.</v>
      </c>
      <c r="N56" s="62" t="str">
        <v>Исходный Excel, «Все требования», H56</v>
      </c>
    </row>
    <row r="57" spans="2:14" ht="42" hidden="1" customHeight="1">
      <c r="B57" s="10" t="s">
        <v>131</v>
      </c>
      <c r="C57" s="10" t="s">
        <v>132</v>
      </c>
      <c r="D57" s="11" t="s">
        <v>133</v>
      </c>
      <c r="E57" s="9" t="str">
        <f>IF(EXACT(IFERROR(VLOOKUP(B57,' Первый релиз (05.08)'!$A$1:$A$96,1,FALSE),"нет"),B57),"Да","Нет")</f>
        <v>Нет</v>
      </c>
      <c r="F57" s="9" t="str">
        <f>IF(EXACT(IFERROR(VLOOKUP(B57,'Первый релиз (04.09)'!$A$1:$A$96,1,FALSE),"нет"),B57),"Да","Нет")</f>
        <v>Нет</v>
      </c>
      <c r="G57" s="9" t="s">
        <v>21</v>
      </c>
      <c r="H57" s="9"/>
      <c r="I57" s="19"/>
      <c r="J57" s="12"/>
      <c r="K57" s="9">
        <v>129</v>
      </c>
      <c r="L57" s="62" t="str">
        <v>Вне объёма оценки</v>
      </c>
      <c r="M57" s="62" t="str">
        <v>В колонке H нет отметки «Да» для релиза 1.0. Выполнение по архиву в этой оценке не анализировалось.</v>
      </c>
      <c r="N57" s="62" t="str">
        <v>Исходный Excel, «Все требования», H57</v>
      </c>
    </row>
    <row r="58" spans="2:14" ht="42" hidden="1" customHeight="1">
      <c r="B58" s="10" t="s">
        <v>134</v>
      </c>
      <c r="C58" s="10" t="s">
        <v>135</v>
      </c>
      <c r="D58" s="11" t="s">
        <v>133</v>
      </c>
      <c r="E58" s="9" t="str">
        <f>IF(EXACT(IFERROR(VLOOKUP(B58,' Первый релиз (05.08)'!$A$1:$A$96,1,FALSE),"нет"),B58),"Да","Нет")</f>
        <v>Нет</v>
      </c>
      <c r="F58" s="9" t="str">
        <f>IF(EXACT(IFERROR(VLOOKUP(B58,'Первый релиз (04.09)'!$A$1:$A$96,1,FALSE),"нет"),B58),"Да","Нет")</f>
        <v>Нет</v>
      </c>
      <c r="G58" s="9" t="s">
        <v>21</v>
      </c>
      <c r="H58" s="9"/>
      <c r="I58" s="19"/>
      <c r="J58" s="12"/>
      <c r="K58" s="9">
        <v>130</v>
      </c>
      <c r="L58" s="62" t="str">
        <v>Вне объёма оценки</v>
      </c>
      <c r="M58" s="62" t="str">
        <v>В колонке H нет отметки «Да» для релиза 1.0. Выполнение по архиву в этой оценке не анализировалось.</v>
      </c>
      <c r="N58" s="62" t="str">
        <v>Исходный Excel, «Все требования», H58</v>
      </c>
    </row>
    <row r="59" spans="2:14" ht="42" customHeight="1">
      <c r="B59" s="10" t="s">
        <v>136</v>
      </c>
      <c r="C59" s="10" t="s">
        <v>137</v>
      </c>
      <c r="D59" s="11" t="s">
        <v>133</v>
      </c>
      <c r="E59" s="9" t="str">
        <f>IF(EXACT(IFERROR(VLOOKUP(B59,' Первый релиз (05.08)'!$A$1:$A$96,1,FALSE),"нет"),B59),"Да","Нет")</f>
        <v>Нет</v>
      </c>
      <c r="F59" s="9" t="str">
        <f>IF(EXACT(IFERROR(VLOOKUP(B59,'Первый релиз (04.09)'!$A$1:$A$96,1,FALSE),"нет"),B59),"Да","Нет")</f>
        <v>Да</v>
      </c>
      <c r="G59" s="24" t="s">
        <v>15</v>
      </c>
      <c r="H59" s="24" t="s">
        <v>15</v>
      </c>
      <c r="I59" s="24"/>
      <c r="J59" s="26" t="s">
        <v>138</v>
      </c>
      <c r="K59" s="9">
        <v>131</v>
      </c>
      <c r="L59" s="62" t="str">
        <v>Не подтверждено; конфликт объёма</v>
      </c>
      <c r="M59" s="62" t="str">
        <v>API-интеграция META/SberNAO не установлена. H59=Да, но J59 относит пункт к релизу «Микросегментация».</v>
      </c>
      <c r="N59" s="62" t="str">
        <v>ansible/action_plugins/kolla_firewall_admission.py
ansible/roles/host-firewall/tasks/</v>
      </c>
    </row>
    <row r="60" spans="2:14" ht="42" hidden="1" customHeight="1">
      <c r="B60" s="10" t="s">
        <v>139</v>
      </c>
      <c r="C60" s="10" t="s">
        <v>140</v>
      </c>
      <c r="D60" s="11" t="s">
        <v>133</v>
      </c>
      <c r="E60" s="9" t="str">
        <f>IF(EXACT(IFERROR(VLOOKUP(B60,' Первый релиз (05.08)'!$A$1:$A$96,1,FALSE),"нет"),B60),"Да","Нет")</f>
        <v>Нет</v>
      </c>
      <c r="F60" s="9" t="str">
        <f>IF(EXACT(IFERROR(VLOOKUP(B60,'Первый релиз (04.09)'!$A$1:$A$96,1,FALSE),"нет"),B60),"Да","Нет")</f>
        <v>Нет</v>
      </c>
      <c r="G60" s="9" t="s">
        <v>21</v>
      </c>
      <c r="H60" s="9"/>
      <c r="I60" s="19"/>
      <c r="J60" s="12"/>
      <c r="K60" s="9">
        <v>132</v>
      </c>
      <c r="L60" s="62" t="str">
        <v>Вне объёма оценки</v>
      </c>
      <c r="M60" s="62" t="str">
        <v>В колонке H нет отметки «Да» для релиза 1.0. Выполнение по архиву в этой оценке не анализировалось.</v>
      </c>
      <c r="N60" s="62" t="str">
        <v>Исходный Excel, «Все требования», H60</v>
      </c>
    </row>
    <row r="61" spans="2:14" ht="42" hidden="1" customHeight="1">
      <c r="B61" s="10" t="s">
        <v>141</v>
      </c>
      <c r="C61" s="10" t="s">
        <v>142</v>
      </c>
      <c r="D61" s="11" t="s">
        <v>133</v>
      </c>
      <c r="E61" s="9" t="str">
        <f>IF(EXACT(IFERROR(VLOOKUP(B61,' Первый релиз (05.08)'!$A$1:$A$96,1,FALSE),"нет"),B61),"Да","Нет")</f>
        <v>Нет</v>
      </c>
      <c r="F61" s="9" t="str">
        <f>IF(EXACT(IFERROR(VLOOKUP(B61,'Первый релиз (04.09)'!$A$1:$A$96,1,FALSE),"нет"),B61),"Да","Нет")</f>
        <v>Нет</v>
      </c>
      <c r="G61" s="9" t="s">
        <v>21</v>
      </c>
      <c r="H61" s="9"/>
      <c r="I61" s="19"/>
      <c r="J61" s="12"/>
      <c r="K61" s="9">
        <v>133</v>
      </c>
      <c r="L61" s="62" t="str">
        <v>Вне объёма оценки</v>
      </c>
      <c r="M61" s="62" t="str">
        <v>В колонке H нет отметки «Да» для релиза 1.0. Выполнение по архиву в этой оценке не анализировалось.</v>
      </c>
      <c r="N61" s="62" t="str">
        <v>Исходный Excel, «Все требования», H61</v>
      </c>
    </row>
    <row r="62" spans="2:14" ht="45" hidden="1" customHeight="1">
      <c r="B62" s="10" t="s">
        <v>143</v>
      </c>
      <c r="C62" s="10" t="s">
        <v>144</v>
      </c>
      <c r="D62" s="11" t="s">
        <v>133</v>
      </c>
      <c r="E62" s="9" t="str">
        <f>IF(EXACT(IFERROR(VLOOKUP(B62,' Первый релиз (05.08)'!$A$1:$A$96,1,FALSE),"нет"),B62),"Да","Нет")</f>
        <v>Нет</v>
      </c>
      <c r="F62" s="9" t="str">
        <f>IF(EXACT(IFERROR(VLOOKUP(B62,'Первый релиз (04.09)'!$A$1:$A$96,1,FALSE),"нет"),B62),"Да","Нет")</f>
        <v>Нет</v>
      </c>
      <c r="G62" s="9" t="s">
        <v>21</v>
      </c>
      <c r="H62" s="9"/>
      <c r="I62" s="19"/>
      <c r="J62" s="12"/>
      <c r="K62" s="9">
        <v>134</v>
      </c>
      <c r="L62" s="62" t="str">
        <v>Вне объёма оценки</v>
      </c>
      <c r="M62" s="62" t="str">
        <v>В колонке H нет отметки «Да» для релиза 1.0. Выполнение по архиву в этой оценке не анализировалось.</v>
      </c>
      <c r="N62" s="62" t="str">
        <v>Исходный Excel, «Все требования», H62</v>
      </c>
    </row>
    <row r="63" spans="2:14" ht="45" hidden="1" customHeight="1">
      <c r="B63" s="10" t="s">
        <v>145</v>
      </c>
      <c r="C63" s="10" t="s">
        <v>146</v>
      </c>
      <c r="D63" s="11" t="s">
        <v>133</v>
      </c>
      <c r="E63" s="9" t="str">
        <f>IF(EXACT(IFERROR(VLOOKUP(B63,' Первый релиз (05.08)'!$A$1:$A$96,1,FALSE),"нет"),B63),"Да","Нет")</f>
        <v>Нет</v>
      </c>
      <c r="F63" s="9" t="str">
        <f>IF(EXACT(IFERROR(VLOOKUP(B63,'Первый релиз (04.09)'!$A$1:$A$96,1,FALSE),"нет"),B63),"Да","Нет")</f>
        <v>Нет</v>
      </c>
      <c r="G63" s="9" t="s">
        <v>21</v>
      </c>
      <c r="H63" s="9"/>
      <c r="I63" s="19"/>
      <c r="J63" s="12"/>
      <c r="K63" s="9">
        <v>135</v>
      </c>
      <c r="L63" s="62" t="str">
        <v>Вне объёма оценки</v>
      </c>
      <c r="M63" s="62" t="str">
        <v>В колонке H нет отметки «Да» для релиза 1.0. Выполнение по архиву в этой оценке не анализировалось.</v>
      </c>
      <c r="N63" s="62" t="str">
        <v>Исходный Excel, «Все требования», H63</v>
      </c>
    </row>
    <row r="64" spans="2:14" ht="42" customHeight="1">
      <c r="B64" s="10" t="s">
        <v>147</v>
      </c>
      <c r="C64" s="10" t="s">
        <v>148</v>
      </c>
      <c r="D64" s="11" t="s">
        <v>133</v>
      </c>
      <c r="E64" s="9" t="str">
        <f>IF(EXACT(IFERROR(VLOOKUP(B64,' Первый релиз (05.08)'!$A$1:$A$96,1,FALSE),"нет"),B64),"Да","Нет")</f>
        <v>Да</v>
      </c>
      <c r="F64" s="9" t="str">
        <f>IF(EXACT(IFERROR(VLOOKUP(B64,'Первый релиз (04.09)'!$A$1:$A$96,1,FALSE),"нет"),B64),"Да","Нет")</f>
        <v>Да</v>
      </c>
      <c r="G64" s="9" t="s">
        <v>15</v>
      </c>
      <c r="H64" s="24" t="s">
        <v>15</v>
      </c>
      <c r="I64" s="9"/>
      <c r="J64" s="12"/>
      <c r="K64" s="9">
        <v>136</v>
      </c>
      <c r="L64" s="62" t="str">
        <v>Частично</v>
      </c>
      <c r="M64" s="62" t="str">
        <v>Есть Ansible и планирование/откат firewall. Интеграция жизненного цикла политик с DevOps банка требует подтверждения.</v>
      </c>
      <c r="N64" s="62" t="str">
        <v>ansible/action_plugins/kolla_firewall_admission.py
ansible/roles/host-firewall/tasks/</v>
      </c>
    </row>
    <row r="65" spans="2:14" ht="45" hidden="1" customHeight="1">
      <c r="B65" s="10" t="s">
        <v>149</v>
      </c>
      <c r="C65" s="10" t="s">
        <v>150</v>
      </c>
      <c r="D65" s="11" t="s">
        <v>133</v>
      </c>
      <c r="E65" s="9" t="str">
        <f>IF(EXACT(IFERROR(VLOOKUP(B65,' Первый релиз (05.08)'!$A$1:$A$96,1,FALSE),"нет"),B65),"Да","Нет")</f>
        <v>Нет</v>
      </c>
      <c r="F65" s="9" t="str">
        <f>IF(EXACT(IFERROR(VLOOKUP(B65,'Первый релиз (04.09)'!$A$1:$A$96,1,FALSE),"нет"),B65),"Да","Нет")</f>
        <v>Нет</v>
      </c>
      <c r="G65" s="9" t="s">
        <v>21</v>
      </c>
      <c r="H65" s="9"/>
      <c r="I65" s="19"/>
      <c r="J65" s="12"/>
      <c r="K65" s="9">
        <v>137</v>
      </c>
      <c r="L65" s="62" t="str">
        <v>Вне объёма оценки</v>
      </c>
      <c r="M65" s="62" t="str">
        <v>В колонке H нет отметки «Да» для релиза 1.0. Выполнение по архиву в этой оценке не анализировалось.</v>
      </c>
      <c r="N65" s="62" t="str">
        <v>Исходный Excel, «Все требования», H65</v>
      </c>
    </row>
    <row r="66" spans="2:14" ht="42" customHeight="1">
      <c r="B66" s="10" t="s">
        <v>151</v>
      </c>
      <c r="C66" s="10" t="s">
        <v>152</v>
      </c>
      <c r="D66" s="11" t="s">
        <v>133</v>
      </c>
      <c r="E66" s="9" t="str">
        <f>IF(EXACT(IFERROR(VLOOKUP(B66,' Первый релиз (05.08)'!$A$1:$A$96,1,FALSE),"нет"),B66),"Да","Нет")</f>
        <v>Да</v>
      </c>
      <c r="F66" s="9" t="str">
        <f>IF(EXACT(IFERROR(VLOOKUP(B66,'Первый релиз (04.09)'!$A$1:$A$96,1,FALSE),"нет"),B66),"Да","Нет")</f>
        <v>Да</v>
      </c>
      <c r="G66" s="9" t="s">
        <v>15</v>
      </c>
      <c r="H66" s="24" t="s">
        <v>15</v>
      </c>
      <c r="I66" s="9"/>
      <c r="J66" s="12"/>
      <c r="K66" s="9">
        <v>138</v>
      </c>
      <c r="L66" s="62" t="str">
        <v>Частично</v>
      </c>
      <c r="M66" s="62" t="str">
        <v>Есть API-аудит сетевых объектов. Не подтверждены события срабатывания каждого правила и полный поток во внешнюю SIEM банка.</v>
      </c>
      <c r="N66" s="62" t="str">
        <v>ansible/roles/common/templates/security-audit-api-map.conf.j2
ansible/roles/common/files/security-audit-normalizer.py:184–272</v>
      </c>
    </row>
    <row r="67" spans="2:14" ht="42" customHeight="1">
      <c r="B67" s="10" t="s">
        <v>153</v>
      </c>
      <c r="C67" s="10" t="s">
        <v>154</v>
      </c>
      <c r="D67" s="11" t="s">
        <v>133</v>
      </c>
      <c r="E67" s="9" t="str">
        <f>IF(EXACT(IFERROR(VLOOKUP(B67,' Первый релиз (05.08)'!$A$1:$A$96,1,FALSE),"нет"),B67),"Да","Нет")</f>
        <v>Да</v>
      </c>
      <c r="F67" s="9" t="str">
        <f>IF(EXACT(IFERROR(VLOOKUP(B67,'Первый релиз (04.09)'!$A$1:$A$96,1,FALSE),"нет"),B67),"Да","Нет")</f>
        <v>Да</v>
      </c>
      <c r="G67" s="9" t="s">
        <v>15</v>
      </c>
      <c r="H67" s="24" t="s">
        <v>15</v>
      </c>
      <c r="I67" s="9"/>
      <c r="J67" s="12"/>
      <c r="K67" s="9">
        <v>46</v>
      </c>
      <c r="L67" s="62" t="str">
        <v>Не подтверждено</v>
      </c>
      <c r="M67" s="62" t="str">
        <v>Раздельные интерфейсные переменные не доказывают отдельную management VLAN. Нужны фактическая схема и проверки связности.</v>
      </c>
      <c r="N67" s="62" t="str">
        <v>ansible/roles/neutron/templates/openvswitch_agent.ini.j2:13–14
ansible/roles/host-firewall/vars/catalog.yml</v>
      </c>
    </row>
    <row r="68" spans="2:14" ht="58" customHeight="1">
      <c r="B68" s="10" t="s">
        <v>155</v>
      </c>
      <c r="C68" s="10" t="s">
        <v>156</v>
      </c>
      <c r="D68" s="11" t="s">
        <v>133</v>
      </c>
      <c r="E68" s="9" t="str">
        <f>IF(EXACT(IFERROR(VLOOKUP(B68,' Первый релиз (05.08)'!$A$1:$A$96,1,FALSE),"нет"),B68),"Да","Нет")</f>
        <v>Да</v>
      </c>
      <c r="F68" s="9" t="str">
        <f>IF(EXACT(IFERROR(VLOOKUP(B68,'Первый релиз (04.09)'!$A$1:$A$96,1,FALSE),"нет"),B68),"Да","Нет")</f>
        <v>Да</v>
      </c>
      <c r="G68" s="9" t="s">
        <v>15</v>
      </c>
      <c r="H68" s="24" t="s">
        <v>15</v>
      </c>
      <c r="I68" s="9"/>
      <c r="J68" s="12"/>
      <c r="K68" s="9" t="s">
        <v>157</v>
      </c>
      <c r="L68" s="62" t="str">
        <v>Частично; пробел</v>
      </c>
      <c r="M68" s="62" t="str">
        <v>В каталоге нет QEMU-диапазона live migration; libvirt описан через api при привязке к migration. Исправление описано в LIVE_MIGRATION_FIREWALL_MINIMAL_FIX.md, в архив не внесено.</v>
      </c>
      <c r="N68" s="62" t="str">
        <v>ansible/roles/host-firewall/vars/catalog.yml:507–540
ansible/roles/nova-cell/templates/libvirtd.conf.j2:23</v>
      </c>
    </row>
    <row r="69" spans="2:14" ht="60" hidden="1" customHeight="1">
      <c r="B69" s="13" t="s">
        <v>158</v>
      </c>
      <c r="C69" s="13" t="s">
        <v>159</v>
      </c>
      <c r="D69" s="14" t="s">
        <v>133</v>
      </c>
      <c r="E69" s="15" t="str">
        <f>IF(EXACT(IFERROR(VLOOKUP(B69,' Первый релиз (05.08)'!$A$1:$A$96,1,FALSE),"нет"),B69),"Да","Нет")</f>
        <v>Да</v>
      </c>
      <c r="F69" s="15" t="str">
        <f>IF(EXACT(IFERROR(VLOOKUP(B69,'Первый релиз (04.09)'!$A$1:$A$96,1,FALSE),"нет"),B69),"Да","Нет")</f>
        <v>Нет</v>
      </c>
      <c r="G69" s="18" t="s">
        <v>62</v>
      </c>
      <c r="H69" s="18"/>
      <c r="I69" s="19"/>
      <c r="J69" s="28" t="s">
        <v>160</v>
      </c>
      <c r="K69" s="15">
        <v>139</v>
      </c>
      <c r="L69" s="62" t="str">
        <v>Вне объёма оценки</v>
      </c>
      <c r="M69" s="62" t="str">
        <v>В колонке H нет отметки «Да» для релиза 1.0. Выполнение по архиву в этой оценке не анализировалось.</v>
      </c>
      <c r="N69" s="62" t="str">
        <v>Исходный Excel, «Все требования», H69</v>
      </c>
    </row>
    <row r="70" spans="2:14" ht="96" hidden="1">
      <c r="B70" s="6" t="s">
        <v>161</v>
      </c>
      <c r="C70" s="7"/>
      <c r="D70" s="7"/>
      <c r="E70" s="8"/>
      <c r="F70" s="8"/>
      <c r="G70" s="9"/>
      <c r="I70" s="19"/>
      <c r="L70" s="62"/>
      <c r="M70" s="62"/>
      <c r="N70" s="62"/>
    </row>
    <row r="71" spans="2:14" ht="42" customHeight="1">
      <c r="B71" s="10" t="s">
        <v>162</v>
      </c>
      <c r="C71" s="10" t="s">
        <v>163</v>
      </c>
      <c r="D71" s="11" t="s">
        <v>133</v>
      </c>
      <c r="E71" s="9" t="str">
        <f>IF(EXACT(IFERROR(VLOOKUP(B71,' Первый релиз (05.08)'!$A$1:$A$96,1,FALSE),"нет"),B71),"Да","Нет")</f>
        <v>Да</v>
      </c>
      <c r="F71" s="9" t="str">
        <f>IF(EXACT(IFERROR(VLOOKUP(B71,'Первый релиз (04.09)'!$A$1:$A$96,1,FALSE),"нет"),B71),"Да","Нет")</f>
        <v>Нет</v>
      </c>
      <c r="G71" s="9" t="s">
        <v>15</v>
      </c>
      <c r="H71" s="24" t="s">
        <v>15</v>
      </c>
      <c r="I71" s="9"/>
      <c r="J71" s="12"/>
      <c r="K71" s="9">
        <v>51</v>
      </c>
      <c r="L71" s="62" t="str">
        <v>Частично</v>
      </c>
      <c r="M71" s="62" t="str">
        <v>Есть отправка Fluentd в OpenSearch. Совместимость и приём событий внешним сервисом банка не испытаны.</v>
      </c>
      <c r="N71" s="62" t="str">
        <v>ansible/roles/common/templates/conf/output/02-security-audit.conf.j2
ansible/roles/opensearch/defaults/main.yml:14–20, 63</v>
      </c>
    </row>
    <row r="72" spans="2:14" ht="58" customHeight="1">
      <c r="B72" s="10" t="s">
        <v>164</v>
      </c>
      <c r="C72" s="10" t="s">
        <v>165</v>
      </c>
      <c r="D72" s="11" t="s">
        <v>133</v>
      </c>
      <c r="E72" s="9" t="str">
        <f>IF(EXACT(IFERROR(VLOOKUP(B72,' Первый релиз (05.08)'!$A$1:$A$96,1,FALSE),"нет"),B72),"Да","Нет")</f>
        <v>Да</v>
      </c>
      <c r="F72" s="9" t="str">
        <f>IF(EXACT(IFERROR(VLOOKUP(B72,'Первый релиз (04.09)'!$A$1:$A$96,1,FALSE),"нет"),B72),"Да","Нет")</f>
        <v>Нет</v>
      </c>
      <c r="G72" s="9" t="s">
        <v>15</v>
      </c>
      <c r="H72" s="24" t="s">
        <v>15</v>
      </c>
      <c r="I72" s="9"/>
      <c r="J72" s="12"/>
      <c r="K72" s="9">
        <v>52</v>
      </c>
      <c r="L72" s="62" t="str">
        <v>Частично; разрыв</v>
      </c>
      <c r="M72" s="62" t="str">
        <v>Есть авторизация и TLS-настройки. По defaults до VIP используется HTTP, backend OpenSearch — TLS verify none. Проверить защищённый маршрут целиком.</v>
      </c>
      <c r="N72" s="62" t="str">
        <v>ansible/roles/common/templates/conf/output/02-security-audit.conf.j2
ansible/roles/opensearch/defaults/main.yml:14–20, 63</v>
      </c>
    </row>
    <row r="73" spans="2:14" ht="42" customHeight="1">
      <c r="B73" s="10" t="s">
        <v>166</v>
      </c>
      <c r="C73" s="10" t="s">
        <v>167</v>
      </c>
      <c r="D73" s="11" t="s">
        <v>133</v>
      </c>
      <c r="E73" s="9" t="str">
        <f>IF(EXACT(IFERROR(VLOOKUP(B73,' Первый релиз (05.08)'!$A$1:$A$96,1,FALSE),"нет"),B73),"Да","Нет")</f>
        <v>Да</v>
      </c>
      <c r="F73" s="9" t="str">
        <f>IF(EXACT(IFERROR(VLOOKUP(B73,'Первый релиз (04.09)'!$A$1:$A$96,1,FALSE),"нет"),B73),"Да","Нет")</f>
        <v>Нет</v>
      </c>
      <c r="G73" s="9" t="s">
        <v>15</v>
      </c>
      <c r="H73" s="24" t="s">
        <v>15</v>
      </c>
      <c r="I73" s="9"/>
      <c r="J73" s="12"/>
      <c r="K73" s="9">
        <v>53</v>
      </c>
      <c r="L73" s="62" t="str">
        <v>Разрыв</v>
      </c>
      <c r="M73" s="62" t="str">
        <v>Флаг enable_security_audit=false отключает ветки аудита и вспомогательные процессы. Неотключаемый профиль передачи событий не установлен.</v>
      </c>
      <c r="N73" s="62" t="str">
        <v>ansible/roles/common/tasks/security-audit-availability.yml:36–96
ansible/group_vars/all.yml:942</v>
      </c>
    </row>
    <row r="74" spans="2:14" ht="42" customHeight="1">
      <c r="B74" s="10" t="s">
        <v>168</v>
      </c>
      <c r="C74" s="10" t="s">
        <v>169</v>
      </c>
      <c r="D74" s="11" t="s">
        <v>133</v>
      </c>
      <c r="E74" s="9" t="str">
        <f>IF(EXACT(IFERROR(VLOOKUP(B74,' Первый релиз (05.08)'!$A$1:$A$96,1,FALSE),"нет"),B74),"Да","Нет")</f>
        <v>Да</v>
      </c>
      <c r="F74" s="9" t="str">
        <f>IF(EXACT(IFERROR(VLOOKUP(B74,'Первый релиз (04.09)'!$A$1:$A$96,1,FALSE),"нет"),B74),"Да","Нет")</f>
        <v>Нет</v>
      </c>
      <c r="G74" s="9" t="s">
        <v>15</v>
      </c>
      <c r="H74" s="24" t="s">
        <v>15</v>
      </c>
      <c r="I74" s="9"/>
      <c r="J74" s="12"/>
      <c r="K74" s="9">
        <v>54</v>
      </c>
      <c r="L74" s="62" t="str">
        <v>Частично</v>
      </c>
      <c r="M74" s="62" t="str">
        <v>Схема событий есть. Полнота обязательных атрибутов не гарантирована: action/target необязательны, допустимы NO-USER/UNKNOWN.</v>
      </c>
      <c r="N74" s="62" t="str">
        <v>ansible/roles/common/files/security-audit-normalizer.py:8–17, 184–272</v>
      </c>
    </row>
    <row r="75" spans="2:14" ht="58" customHeight="1">
      <c r="B75" s="10" t="s">
        <v>170</v>
      </c>
      <c r="C75" s="10" t="s">
        <v>171</v>
      </c>
      <c r="D75" s="11" t="s">
        <v>133</v>
      </c>
      <c r="E75" s="9" t="str">
        <f>IF(EXACT(IFERROR(VLOOKUP(B75,' Первый релиз (05.08)'!$A$1:$A$96,1,FALSE),"нет"),B75),"Да","Нет")</f>
        <v>Да</v>
      </c>
      <c r="F75" s="9" t="str">
        <f>IF(EXACT(IFERROR(VLOOKUP(B75,'Первый релиз (04.09)'!$A$1:$A$96,1,FALSE),"нет"),B75),"Да","Нет")</f>
        <v>Нет</v>
      </c>
      <c r="G75" s="9" t="s">
        <v>15</v>
      </c>
      <c r="H75" s="24" t="s">
        <v>15</v>
      </c>
      <c r="I75" s="9"/>
      <c r="J75" s="12"/>
      <c r="K75" s="9">
        <v>54</v>
      </c>
      <c r="L75" s="62" t="str">
        <v>Есть механизм</v>
      </c>
      <c r="M75" s="62" t="str">
        <v>Время нормализуется до секунд. Проверить время исходного события и синхронизацию часов; отсутствие времени даёт резервное значение 1970 года.</v>
      </c>
      <c r="N75" s="62" t="str">
        <v>ansible/roles/common/files/security-audit-normalizer.py:8–17, 184–272</v>
      </c>
    </row>
    <row r="76" spans="2:14" ht="42" customHeight="1">
      <c r="B76" s="10" t="s">
        <v>172</v>
      </c>
      <c r="C76" s="10" t="s">
        <v>173</v>
      </c>
      <c r="D76" s="11" t="s">
        <v>133</v>
      </c>
      <c r="E76" s="9" t="str">
        <f>IF(EXACT(IFERROR(VLOOKUP(B76,' Первый релиз (05.08)'!$A$1:$A$96,1,FALSE),"нет"),B76),"Да","Нет")</f>
        <v>Да</v>
      </c>
      <c r="F76" s="9" t="str">
        <f>IF(EXACT(IFERROR(VLOOKUP(B76,'Первый релиз (04.09)'!$A$1:$A$96,1,FALSE),"нет"),B76),"Да","Нет")</f>
        <v>Нет</v>
      </c>
      <c r="G76" s="9" t="s">
        <v>15</v>
      </c>
      <c r="H76" s="24" t="s">
        <v>15</v>
      </c>
      <c r="I76" s="9"/>
      <c r="J76" s="12"/>
      <c r="K76" s="9">
        <v>54</v>
      </c>
      <c r="L76" s="62" t="str">
        <v>Частично</v>
      </c>
      <c r="M76" s="62" t="str">
        <v>Есть userLogin; при нехватке данных используется NO-USER. Подтвердить идентификацию пользователя для всех применимых событий.</v>
      </c>
      <c r="N76" s="62" t="str">
        <v>ansible/roles/common/files/security-audit-normalizer.py:8–17, 184–272</v>
      </c>
    </row>
    <row r="77" spans="2:14" ht="42" customHeight="1">
      <c r="B77" s="10" t="s">
        <v>174</v>
      </c>
      <c r="C77" s="10" t="s">
        <v>175</v>
      </c>
      <c r="D77" s="11" t="s">
        <v>133</v>
      </c>
      <c r="E77" s="9" t="str">
        <f>IF(EXACT(IFERROR(VLOOKUP(B77,' Первый релиз (05.08)'!$A$1:$A$96,1,FALSE),"нет"),B77),"Да","Нет")</f>
        <v>Да</v>
      </c>
      <c r="F77" s="9" t="str">
        <f>IF(EXACT(IFERROR(VLOOKUP(B77,'Первый релиз (04.09)'!$A$1:$A$96,1,FALSE),"нет"),B77),"Да","Нет")</f>
        <v>Нет</v>
      </c>
      <c r="G77" s="9" t="s">
        <v>15</v>
      </c>
      <c r="H77" s="24" t="s">
        <v>15</v>
      </c>
      <c r="I77" s="9"/>
      <c r="J77" s="12"/>
      <c r="K77" s="9">
        <v>54</v>
      </c>
      <c r="L77" s="62" t="str">
        <v>Частично</v>
      </c>
      <c r="M77" s="62" t="str">
        <v>action является необязательным полем. Проверить наличие однозначного действия для каждого обязательного типа события.</v>
      </c>
      <c r="N77" s="62" t="str">
        <v>ansible/roles/common/files/security-audit-normalizer.py:8–17, 184–272</v>
      </c>
    </row>
    <row r="78" spans="2:14" ht="42" customHeight="1">
      <c r="B78" s="10" t="s">
        <v>176</v>
      </c>
      <c r="C78" s="10" t="s">
        <v>177</v>
      </c>
      <c r="D78" s="11" t="s">
        <v>133</v>
      </c>
      <c r="E78" s="9" t="str">
        <f>IF(EXACT(IFERROR(VLOOKUP(B78,' Первый релиз (05.08)'!$A$1:$A$96,1,FALSE),"нет"),B78),"Да","Нет")</f>
        <v>Да</v>
      </c>
      <c r="F78" s="9" t="str">
        <f>IF(EXACT(IFERROR(VLOOKUP(B78,'Первый релиз (04.09)'!$A$1:$A$96,1,FALSE),"нет"),B78),"Да","Нет")</f>
        <v>Нет</v>
      </c>
      <c r="G78" s="9" t="s">
        <v>15</v>
      </c>
      <c r="H78" s="24" t="s">
        <v>15</v>
      </c>
      <c r="I78" s="9"/>
      <c r="J78" s="12"/>
      <c r="K78" s="9">
        <v>54</v>
      </c>
      <c r="L78" s="62" t="str">
        <v>Есть механизм</v>
      </c>
      <c r="M78" s="62" t="str">
        <v>Есть name и UUID события. Проверить стабильность идентификаторов при повторах и сопоставление с каталогом.</v>
      </c>
      <c r="N78" s="62" t="str">
        <v>ansible/roles/common/files/security-audit-normalizer.py:8–17, 184–272</v>
      </c>
    </row>
    <row r="79" spans="2:14" ht="42" customHeight="1">
      <c r="B79" s="10" t="s">
        <v>178</v>
      </c>
      <c r="C79" s="10" t="s">
        <v>179</v>
      </c>
      <c r="D79" s="11" t="s">
        <v>133</v>
      </c>
      <c r="E79" s="9" t="str">
        <f>IF(EXACT(IFERROR(VLOOKUP(B79,' Первый релиз (05.08)'!$A$1:$A$96,1,FALSE),"нет"),B79),"Да","Нет")</f>
        <v>Да</v>
      </c>
      <c r="F79" s="9" t="str">
        <f>IF(EXACT(IFERROR(VLOOKUP(B79,'Первый релиз (04.09)'!$A$1:$A$96,1,FALSE),"нет"),B79),"Да","Нет")</f>
        <v>Нет</v>
      </c>
      <c r="G79" s="9" t="s">
        <v>15</v>
      </c>
      <c r="H79" s="24" t="s">
        <v>15</v>
      </c>
      <c r="I79" s="9"/>
      <c r="J79" s="12"/>
      <c r="K79" s="9">
        <v>54</v>
      </c>
      <c r="L79" s="62" t="str">
        <v>Есть механизм</v>
      </c>
      <c r="M79" s="62" t="str">
        <v>Есть success и обработка HTTP-результата. Проверить реальные успешные и неуспешные операции всех типов.</v>
      </c>
      <c r="N79" s="62" t="str">
        <v>ansible/roles/common/files/security-audit-normalizer.py:8–17, 184–272</v>
      </c>
    </row>
    <row r="80" spans="2:14" ht="42" customHeight="1">
      <c r="B80" s="10" t="s">
        <v>180</v>
      </c>
      <c r="C80" s="10" t="s">
        <v>181</v>
      </c>
      <c r="D80" s="11" t="s">
        <v>133</v>
      </c>
      <c r="E80" s="9" t="str">
        <f>IF(EXACT(IFERROR(VLOOKUP(B80,' Первый релиз (05.08)'!$A$1:$A$96,1,FALSE),"нет"),B80),"Да","Нет")</f>
        <v>Да</v>
      </c>
      <c r="F80" s="9" t="str">
        <f>IF(EXACT(IFERROR(VLOOKUP(B80,'Первый релиз (04.09)'!$A$1:$A$96,1,FALSE),"нет"),B80),"Да","Нет")</f>
        <v>Нет</v>
      </c>
      <c r="G80" s="9" t="s">
        <v>15</v>
      </c>
      <c r="H80" s="24" t="s">
        <v>15</v>
      </c>
      <c r="I80" s="9"/>
      <c r="J80" s="12"/>
      <c r="K80" s="9">
        <v>54</v>
      </c>
      <c r="L80" s="62" t="str">
        <v>Частично; опционально</v>
      </c>
      <c r="M80" s="62" t="str">
        <v>Есть changedParams с oldValue/value. Передача полных старых/новых значений не доказана. Опциональность исходного пункта сохранена.</v>
      </c>
      <c r="N80" s="62" t="str">
        <v>ansible/roles/common/files/security-audit-normalizer.py:8–17, 184–272</v>
      </c>
    </row>
    <row r="81" spans="2:14" ht="42" customHeight="1">
      <c r="B81" s="10" t="s">
        <v>182</v>
      </c>
      <c r="C81" s="10" t="s">
        <v>183</v>
      </c>
      <c r="D81" s="11" t="s">
        <v>133</v>
      </c>
      <c r="E81" s="9" t="str">
        <f>IF(EXACT(IFERROR(VLOOKUP(B81,' Первый релиз (05.08)'!$A$1:$A$96,1,FALSE),"нет"),B81),"Да","Нет")</f>
        <v>Да</v>
      </c>
      <c r="F81" s="9" t="str">
        <f>IF(EXACT(IFERROR(VLOOKUP(B81,'Первый релиз (04.09)'!$A$1:$A$96,1,FALSE),"нет"),B81),"Да","Нет")</f>
        <v>Нет</v>
      </c>
      <c r="G81" s="9" t="s">
        <v>15</v>
      </c>
      <c r="H81" s="24" t="s">
        <v>15</v>
      </c>
      <c r="I81" s="9"/>
      <c r="J81" s="12"/>
      <c r="K81" s="9">
        <v>54</v>
      </c>
      <c r="L81" s="62" t="str">
        <v>Частично</v>
      </c>
      <c r="M81" s="62" t="str">
        <v>Есть module, sourceSystem, nodeId/userNode. IP/FQDN могут заменяться UNKNOWN; нужны реальные события всех источников.</v>
      </c>
      <c r="N81" s="62" t="str">
        <v>ansible/roles/common/files/security-audit-normalizer.py:8–17, 184–272</v>
      </c>
    </row>
    <row r="82" spans="2:14" ht="42" customHeight="1">
      <c r="B82" s="10" t="s">
        <v>184</v>
      </c>
      <c r="C82" s="10" t="s">
        <v>185</v>
      </c>
      <c r="D82" s="11" t="s">
        <v>133</v>
      </c>
      <c r="E82" s="9" t="str">
        <f>IF(EXACT(IFERROR(VLOOKUP(B82,' Первый релиз (05.08)'!$A$1:$A$96,1,FALSE),"нет"),B82),"Да","Нет")</f>
        <v>Да</v>
      </c>
      <c r="F82" s="9" t="str">
        <f>IF(EXACT(IFERROR(VLOOKUP(B82,'Первый релиз (04.09)'!$A$1:$A$96,1,FALSE),"нет"),B82),"Да","Нет")</f>
        <v>Нет</v>
      </c>
      <c r="G82" s="9" t="s">
        <v>15</v>
      </c>
      <c r="H82" s="24" t="s">
        <v>15</v>
      </c>
      <c r="I82" s="9"/>
      <c r="J82" s="12"/>
      <c r="K82" s="9">
        <v>54</v>
      </c>
      <c r="L82" s="62" t="str">
        <v>Частично</v>
      </c>
      <c r="M82" s="62" t="str">
        <v>target является необязательным полем. Проверить ресурс назначения и его однозначный идентификатор.</v>
      </c>
      <c r="N82" s="62" t="str">
        <v>ansible/roles/common/files/security-audit-normalizer.py:8–17, 184–272</v>
      </c>
    </row>
    <row r="83" spans="2:14" ht="42" customHeight="1">
      <c r="B83" s="10" t="s">
        <v>186</v>
      </c>
      <c r="C83" s="10" t="s">
        <v>187</v>
      </c>
      <c r="D83" s="11" t="s">
        <v>133</v>
      </c>
      <c r="E83" s="9" t="str">
        <f>IF(EXACT(IFERROR(VLOOKUP(B83,' Первый релиз (05.08)'!$A$1:$A$96,1,FALSE),"нет"),B83),"Да","Нет")</f>
        <v>Да</v>
      </c>
      <c r="F83" s="9" t="str">
        <f>IF(EXACT(IFERROR(VLOOKUP(B83,'Первый релиз (04.09)'!$A$1:$A$96,1,FALSE),"нет"),B83),"Да","Нет")</f>
        <v>Нет</v>
      </c>
      <c r="G83" s="9" t="s">
        <v>15</v>
      </c>
      <c r="H83" s="24" t="s">
        <v>15</v>
      </c>
      <c r="I83" s="9"/>
      <c r="J83" s="12"/>
      <c r="K83" s="9">
        <v>55</v>
      </c>
      <c r="L83" s="62" t="str">
        <v>Частично</v>
      </c>
      <c r="M83" s="62" t="str">
        <v>Есть каталог событий API, Keystone, Nova, Glance, Kolla и доступности. Нужны испытания всех 22 подпунктов, включая ОС и внешние компоненты.</v>
      </c>
      <c r="N83" s="62" t="str">
        <v>ansible/roles/common/files/security-audit-normalizer.py:8–17, 184–272</v>
      </c>
    </row>
    <row r="84" spans="2:14" ht="42" customHeight="1">
      <c r="B84" s="10" t="s">
        <v>188</v>
      </c>
      <c r="C84" s="10" t="s">
        <v>189</v>
      </c>
      <c r="D84" s="11" t="s">
        <v>133</v>
      </c>
      <c r="E84" s="9" t="str">
        <f>IF(EXACT(IFERROR(VLOOKUP(B84,' Первый релиз (05.08)'!$A$1:$A$96,1,FALSE),"нет"),B84),"Да","Нет")</f>
        <v>Да</v>
      </c>
      <c r="F84" s="9" t="str">
        <f>IF(EXACT(IFERROR(VLOOKUP(B84,'Первый релиз (04.09)'!$A$1:$A$96,1,FALSE),"нет"),B84),"Да","Нет")</f>
        <v>Нет</v>
      </c>
      <c r="G84" s="9" t="s">
        <v>15</v>
      </c>
      <c r="H84" s="24" t="s">
        <v>15</v>
      </c>
      <c r="I84" s="9"/>
      <c r="J84" s="12"/>
      <c r="K84" s="9">
        <v>55</v>
      </c>
      <c r="L84" s="62" t="str">
        <v>Частично</v>
      </c>
      <c r="M84" s="62" t="str">
        <v>Есть API-аудит; полный CRUD УЗ и прав, включая назначение и отзыв, не подтверждён.</v>
      </c>
      <c r="N84" s="62" t="str">
        <v>ansible/roles/common/files/security-audit-normalizer.py:8–17, 184–272</v>
      </c>
    </row>
    <row r="85" spans="2:14" ht="42" customHeight="1">
      <c r="B85" s="10" t="s">
        <v>190</v>
      </c>
      <c r="C85" s="10" t="s">
        <v>191</v>
      </c>
      <c r="D85" s="11" t="s">
        <v>133</v>
      </c>
      <c r="E85" s="9" t="str">
        <f>IF(EXACT(IFERROR(VLOOKUP(B85,' Первый релиз (05.08)'!$A$1:$A$96,1,FALSE),"нет"),B85),"Да","Нет")</f>
        <v>Да</v>
      </c>
      <c r="F85" s="9" t="str">
        <f>IF(EXACT(IFERROR(VLOOKUP(B85,'Первый релиз (04.09)'!$A$1:$A$96,1,FALSE),"нет"),B85),"Да","Нет")</f>
        <v>Нет</v>
      </c>
      <c r="G85" s="9" t="s">
        <v>15</v>
      </c>
      <c r="H85" s="24" t="s">
        <v>15</v>
      </c>
      <c r="I85" s="9"/>
      <c r="J85" s="12"/>
      <c r="K85" s="9">
        <v>55</v>
      </c>
      <c r="L85" s="62" t="str">
        <v>Частично</v>
      </c>
      <c r="M85" s="62" t="str">
        <v>Есть события аутентификации Keystone и отказов API. Аудит входа/авторизации гостевой ОС отдельно не подтверждён.</v>
      </c>
      <c r="N85" s="62" t="str">
        <v>ansible/roles/common/files/security-audit-normalizer.py:8–17, 184–272</v>
      </c>
    </row>
    <row r="86" spans="2:14" ht="42" customHeight="1">
      <c r="B86" s="10" t="s">
        <v>192</v>
      </c>
      <c r="C86" s="10" t="s">
        <v>193</v>
      </c>
      <c r="D86" s="11" t="s">
        <v>133</v>
      </c>
      <c r="E86" s="9" t="str">
        <f>IF(EXACT(IFERROR(VLOOKUP(B86,' Первый релиз (05.08)'!$A$1:$A$96,1,FALSE),"нет"),B86),"Да","Нет")</f>
        <v>Да</v>
      </c>
      <c r="F86" s="9" t="str">
        <f>IF(EXACT(IFERROR(VLOOKUP(B86,'Первый релиз (04.09)'!$A$1:$A$96,1,FALSE),"нет"),B86),"Да","Нет")</f>
        <v>Нет</v>
      </c>
      <c r="G86" s="9" t="s">
        <v>15</v>
      </c>
      <c r="H86" s="24" t="s">
        <v>15</v>
      </c>
      <c r="I86" s="9"/>
      <c r="J86" s="12"/>
      <c r="K86" s="9">
        <v>55</v>
      </c>
      <c r="L86" s="62" t="str">
        <v>Частично</v>
      </c>
      <c r="M86" s="62" t="str">
        <v>Есть configuration.changed/change_failed для Kolla. Изменения вне этого пути требуют отдельного покрытия.</v>
      </c>
      <c r="N86" s="62" t="str">
        <v>kolla_ansible/security_audit.py
ansible/roles/common/files/security-audit-normalizer.py:208–209</v>
      </c>
    </row>
    <row r="87" spans="2:14" ht="42" customHeight="1">
      <c r="B87" s="10" t="s">
        <v>194</v>
      </c>
      <c r="C87" s="10" t="s">
        <v>195</v>
      </c>
      <c r="D87" s="11" t="s">
        <v>133</v>
      </c>
      <c r="E87" s="9" t="str">
        <f>IF(EXACT(IFERROR(VLOOKUP(B87,' Первый релиз (05.08)'!$A$1:$A$96,1,FALSE),"нет"),B87),"Да","Нет")</f>
        <v>Да</v>
      </c>
      <c r="F87" s="9" t="str">
        <f>IF(EXACT(IFERROR(VLOOKUP(B87,'Первый релиз (04.09)'!$A$1:$A$96,1,FALSE),"нет"),B87),"Да","Нет")</f>
        <v>Нет</v>
      </c>
      <c r="G87" s="9" t="s">
        <v>15</v>
      </c>
      <c r="H87" s="24" t="s">
        <v>15</v>
      </c>
      <c r="I87" s="9"/>
      <c r="J87" s="12"/>
      <c r="K87" s="9">
        <v>55</v>
      </c>
      <c r="L87" s="62" t="str">
        <v>Частично</v>
      </c>
      <c r="M87" s="62" t="str">
        <v>Есть API-аудит. Полнота действий администраторов через UI, ОС, CLI и скрипты не испытана.</v>
      </c>
      <c r="N87" s="62" t="str">
        <v>ansible/roles/common/files/security-audit-normalizer.py:8–17, 184–272</v>
      </c>
    </row>
    <row r="88" spans="2:14" ht="42" customHeight="1">
      <c r="B88" s="10" t="s">
        <v>196</v>
      </c>
      <c r="C88" s="10" t="s">
        <v>197</v>
      </c>
      <c r="D88" s="11" t="s">
        <v>133</v>
      </c>
      <c r="E88" s="9" t="str">
        <f>IF(EXACT(IFERROR(VLOOKUP(B88,' Первый релиз (05.08)'!$A$1:$A$96,1,FALSE),"нет"),B88),"Да","Нет")</f>
        <v>Да</v>
      </c>
      <c r="F88" s="9" t="str">
        <f>IF(EXACT(IFERROR(VLOOKUP(B88,'Первый релиз (04.09)'!$A$1:$A$96,1,FALSE),"нет"),B88),"Да","Нет")</f>
        <v>Нет</v>
      </c>
      <c r="G88" s="9" t="s">
        <v>15</v>
      </c>
      <c r="H88" s="24" t="s">
        <v>15</v>
      </c>
      <c r="I88" s="9"/>
      <c r="J88" s="12"/>
      <c r="K88" s="9">
        <v>55</v>
      </c>
      <c r="L88" s="62" t="str">
        <v>Частично</v>
      </c>
      <c r="M88" s="62" t="str">
        <v>Есть api.request. Подтвердить все компоненты и успешные/неуспешные обращения.</v>
      </c>
      <c r="N88" s="62" t="str">
        <v>ansible/roles/common/files/security-audit-normalizer.py:8–17, 184–272</v>
      </c>
    </row>
    <row r="89" spans="2:14" ht="58" customHeight="1">
      <c r="B89" s="10" t="s">
        <v>198</v>
      </c>
      <c r="C89" s="10" t="s">
        <v>199</v>
      </c>
      <c r="D89" s="11" t="s">
        <v>133</v>
      </c>
      <c r="E89" s="9" t="str">
        <f>IF(EXACT(IFERROR(VLOOKUP(B89,' Первый релиз (05.08)'!$A$1:$A$96,1,FALSE),"нет"),B89),"Да","Нет")</f>
        <v>Да</v>
      </c>
      <c r="F89" s="9" t="str">
        <f>IF(EXACT(IFERROR(VLOOKUP(B89,'Первый релиз (04.09)'!$A$1:$A$96,1,FALSE),"нет"),B89),"Да","Нет")</f>
        <v>Нет</v>
      </c>
      <c r="G89" s="9" t="s">
        <v>15</v>
      </c>
      <c r="H89" s="24" t="s">
        <v>15</v>
      </c>
      <c r="I89" s="9"/>
      <c r="J89" s="12"/>
      <c r="K89" s="9">
        <v>55</v>
      </c>
      <c r="L89" s="62" t="str">
        <v>Частично; дефект интеграции</v>
      </c>
      <c r="M89" s="62" t="str">
        <v>Есть события доступности/прекращения доставки. В Vault-режиме host heartbeat получает ссылку как буквальный пароль. Проверить отказ и восстановление приёмника.</v>
      </c>
      <c r="N89" s="62" t="str">
        <v>ansible/roles/common/templates/security-audit-secrets.env.j2
ansible/roles/common/files/security-audit-heartbeat.py:64–69</v>
      </c>
    </row>
    <row r="90" spans="2:14" ht="42" customHeight="1">
      <c r="B90" s="10" t="s">
        <v>200</v>
      </c>
      <c r="C90" s="10" t="s">
        <v>201</v>
      </c>
      <c r="D90" s="11" t="s">
        <v>133</v>
      </c>
      <c r="E90" s="9" t="str">
        <f>IF(EXACT(IFERROR(VLOOKUP(B90,' Первый релиз (05.08)'!$A$1:$A$96,1,FALSE),"нет"),B90),"Да","Нет")</f>
        <v>Да</v>
      </c>
      <c r="F90" s="9" t="str">
        <f>IF(EXACT(IFERROR(VLOOKUP(B90,'Первый релиз (04.09)'!$A$1:$A$96,1,FALSE),"нет"),B90),"Да","Нет")</f>
        <v>Нет</v>
      </c>
      <c r="G90" s="9" t="s">
        <v>15</v>
      </c>
      <c r="H90" s="24" t="s">
        <v>15</v>
      </c>
      <c r="I90" s="9"/>
      <c r="J90" s="12"/>
      <c r="K90" s="9">
        <v>55</v>
      </c>
      <c r="L90" s="62" t="str">
        <v>Частично</v>
      </c>
      <c r="M90" s="62" t="str">
        <v>Есть события входа. Полнота изменений и использования всех механизмов идентификации не доказана.</v>
      </c>
      <c r="N90" s="62" t="str">
        <v>ansible/roles/common/files/security-audit-normalizer.py:8–17, 184–272</v>
      </c>
    </row>
    <row r="91" spans="2:14" ht="42" customHeight="1">
      <c r="B91" s="10" t="s">
        <v>202</v>
      </c>
      <c r="C91" s="10" t="s">
        <v>203</v>
      </c>
      <c r="D91" s="11" t="s">
        <v>133</v>
      </c>
      <c r="E91" s="9" t="str">
        <f>IF(EXACT(IFERROR(VLOOKUP(B91,' Первый релиз (05.08)'!$A$1:$A$96,1,FALSE),"нет"),B91),"Да","Нет")</f>
        <v>Да</v>
      </c>
      <c r="F91" s="9" t="str">
        <f>IF(EXACT(IFERROR(VLOOKUP(B91,'Первый релиз (04.09)'!$A$1:$A$96,1,FALSE),"нет"),B91),"Да","Нет")</f>
        <v>Нет</v>
      </c>
      <c r="G91" s="9" t="s">
        <v>15</v>
      </c>
      <c r="H91" s="24" t="s">
        <v>15</v>
      </c>
      <c r="I91" s="9"/>
      <c r="J91" s="12"/>
      <c r="K91" s="9">
        <v>55</v>
      </c>
      <c r="L91" s="62" t="str">
        <v>Частично</v>
      </c>
      <c r="M91" s="62" t="str">
        <v>Явно обрабатывается secret.access_denied. Полный жизненный цикл секретов SecMan/Barbican и успешные операции требуют проверки.</v>
      </c>
      <c r="N91" s="62" t="str">
        <v>ansible/roles/common/files/security-audit-normalizer.py:8–17, 184–272</v>
      </c>
    </row>
    <row r="92" spans="2:14" ht="42" customHeight="1">
      <c r="B92" s="10" t="s">
        <v>204</v>
      </c>
      <c r="C92" s="10" t="s">
        <v>205</v>
      </c>
      <c r="D92" s="11" t="s">
        <v>133</v>
      </c>
      <c r="E92" s="9" t="str">
        <f>IF(EXACT(IFERROR(VLOOKUP(B92,' Первый релиз (05.08)'!$A$1:$A$96,1,FALSE),"нет"),B92),"Да","Нет")</f>
        <v>Да</v>
      </c>
      <c r="F92" s="9" t="str">
        <f>IF(EXACT(IFERROR(VLOOKUP(B92,'Первый релиз (04.09)'!$A$1:$A$96,1,FALSE),"нет"),B92),"Да","Нет")</f>
        <v>Нет</v>
      </c>
      <c r="G92" s="9" t="s">
        <v>15</v>
      </c>
      <c r="H92" s="24" t="s">
        <v>15</v>
      </c>
      <c r="I92" s="9"/>
      <c r="J92" s="12"/>
      <c r="K92" s="9">
        <v>55</v>
      </c>
      <c r="L92" s="62" t="str">
        <v>Не подтверждено</v>
      </c>
      <c r="M92" s="62" t="str">
        <v>Нужно сопоставление системных объектов со всеми событиями создания и удаления. API-аудит не доказывает полноту каталога.</v>
      </c>
      <c r="N92" s="62" t="str">
        <v>ansible/roles/common/files/security-audit-normalizer.py:8–17, 184–272</v>
      </c>
    </row>
    <row r="93" spans="2:14" ht="42" customHeight="1">
      <c r="B93" s="10" t="s">
        <v>206</v>
      </c>
      <c r="C93" s="10" t="s">
        <v>207</v>
      </c>
      <c r="D93" s="11" t="s">
        <v>133</v>
      </c>
      <c r="E93" s="9" t="str">
        <f>IF(EXACT(IFERROR(VLOOKUP(B93,' Первый релиз (05.08)'!$A$1:$A$96,1,FALSE),"нет"),B93),"Да","Нет")</f>
        <v>Да</v>
      </c>
      <c r="F93" s="9" t="str">
        <f>IF(EXACT(IFERROR(VLOOKUP(B93,'Первый релиз (04.09)'!$A$1:$A$96,1,FALSE),"нет"),B93),"Да","Нет")</f>
        <v>Нет</v>
      </c>
      <c r="G93" s="9" t="s">
        <v>15</v>
      </c>
      <c r="H93" s="24" t="s">
        <v>15</v>
      </c>
      <c r="I93" s="9"/>
      <c r="J93" s="12"/>
      <c r="K93" s="9">
        <v>55</v>
      </c>
      <c r="L93" s="62" t="str">
        <v>Частично</v>
      </c>
      <c r="M93" s="62" t="str">
        <v>Есть API-карта Neutron. Проверить изменения виртуальных сегментов и отражение необходимых параметров.</v>
      </c>
      <c r="N93" s="62" t="str">
        <v>ansible/roles/common/templates/security-audit-api-map.conf.j2
ansible/roles/common/files/security-audit-normalizer.py:184–272</v>
      </c>
    </row>
    <row r="94" spans="2:14" ht="42" customHeight="1">
      <c r="B94" s="10" t="s">
        <v>208</v>
      </c>
      <c r="C94" s="10" t="s">
        <v>209</v>
      </c>
      <c r="D94" s="11" t="s">
        <v>133</v>
      </c>
      <c r="E94" s="9" t="str">
        <f>IF(EXACT(IFERROR(VLOOKUP(B94,' Первый релиз (05.08)'!$A$1:$A$96,1,FALSE),"нет"),B94),"Да","Нет")</f>
        <v>Да</v>
      </c>
      <c r="F94" s="9" t="str">
        <f>IF(EXACT(IFERROR(VLOOKUP(B94,'Первый релиз (04.09)'!$A$1:$A$96,1,FALSE),"нет"),B94),"Да","Нет")</f>
        <v>Нет</v>
      </c>
      <c r="G94" s="9" t="s">
        <v>15</v>
      </c>
      <c r="H94" s="24" t="s">
        <v>15</v>
      </c>
      <c r="I94" s="9"/>
      <c r="J94" s="12"/>
      <c r="K94" s="9">
        <v>55</v>
      </c>
      <c r="L94" s="62" t="str">
        <v>Частично</v>
      </c>
      <c r="M94" s="62" t="str">
        <v>Обрабатывается compute.instance.update. Подтвердить создание, удаление, запуск и остановку ВМ отдельными событиями.</v>
      </c>
      <c r="N94" s="62" t="str">
        <v>ansible/roles/common/files/security-audit-normalizer.py:8–17, 184–272</v>
      </c>
    </row>
    <row r="95" spans="2:14" ht="42" customHeight="1">
      <c r="B95" s="10" t="s">
        <v>210</v>
      </c>
      <c r="C95" s="10" t="s">
        <v>211</v>
      </c>
      <c r="D95" s="11" t="s">
        <v>133</v>
      </c>
      <c r="E95" s="9" t="str">
        <f>IF(EXACT(IFERROR(VLOOKUP(B95,' Первый релиз (05.08)'!$A$1:$A$96,1,FALSE),"нет"),B95),"Да","Нет")</f>
        <v>Да</v>
      </c>
      <c r="F95" s="9" t="str">
        <f>IF(EXACT(IFERROR(VLOOKUP(B95,'Первый релиз (04.09)'!$A$1:$A$96,1,FALSE),"нет"),B95),"Да","Нет")</f>
        <v>Нет</v>
      </c>
      <c r="G95" s="9" t="s">
        <v>15</v>
      </c>
      <c r="H95" s="24" t="s">
        <v>15</v>
      </c>
      <c r="I95" s="9"/>
      <c r="J95" s="12"/>
      <c r="K95" s="9">
        <v>55</v>
      </c>
      <c r="L95" s="62" t="str">
        <v>Частично</v>
      </c>
      <c r="M95" s="62" t="str">
        <v>Явно обрабатывается image.create. Проверить изменение, копирование и удаление базового образа.</v>
      </c>
      <c r="N95" s="62" t="str">
        <v>ansible/roles/common/files/security-audit-normalizer.py:8–17, 184–272</v>
      </c>
    </row>
    <row r="96" spans="2:14" ht="42" customHeight="1">
      <c r="B96" s="10" t="s">
        <v>212</v>
      </c>
      <c r="C96" s="10" t="s">
        <v>213</v>
      </c>
      <c r="D96" s="11" t="s">
        <v>133</v>
      </c>
      <c r="E96" s="9" t="str">
        <f>IF(EXACT(IFERROR(VLOOKUP(B96,' Первый релиз (05.08)'!$A$1:$A$96,1,FALSE),"нет"),B96),"Да","Нет")</f>
        <v>Да</v>
      </c>
      <c r="F96" s="9" t="str">
        <f>IF(EXACT(IFERROR(VLOOKUP(B96,'Первый релиз (04.09)'!$A$1:$A$96,1,FALSE),"нет"),B96),"Да","Нет")</f>
        <v>Нет</v>
      </c>
      <c r="G96" s="9" t="s">
        <v>15</v>
      </c>
      <c r="H96" s="24" t="s">
        <v>15</v>
      </c>
      <c r="I96" s="9"/>
      <c r="J96" s="12"/>
      <c r="K96" s="9">
        <v>55</v>
      </c>
      <c r="L96" s="62" t="str">
        <v>Не подтверждено</v>
      </c>
      <c r="M96" s="62" t="str">
        <v>Аудит копирования текущего образа ВМ отдельным сценарием не подтверждён.</v>
      </c>
      <c r="N96" s="62" t="str">
        <v>ansible/roles/common/files/security-audit-normalizer.py:8–17, 184–272</v>
      </c>
    </row>
    <row r="97" spans="2:14" ht="42" customHeight="1">
      <c r="B97" s="10" t="s">
        <v>214</v>
      </c>
      <c r="C97" s="10" t="s">
        <v>215</v>
      </c>
      <c r="D97" s="11" t="s">
        <v>133</v>
      </c>
      <c r="E97" s="9" t="str">
        <f>IF(EXACT(IFERROR(VLOOKUP(B97,' Первый релиз (05.08)'!$A$1:$A$96,1,FALSE),"нет"),B97),"Да","Нет")</f>
        <v>Да</v>
      </c>
      <c r="F97" s="9" t="str">
        <f>IF(EXACT(IFERROR(VLOOKUP(B97,'Первый релиз (04.09)'!$A$1:$A$96,1,FALSE),"нет"),B97),"Да","Нет")</f>
        <v>Нет</v>
      </c>
      <c r="G97" s="9" t="s">
        <v>15</v>
      </c>
      <c r="H97" s="24" t="s">
        <v>15</v>
      </c>
      <c r="I97" s="9"/>
      <c r="J97" s="12"/>
      <c r="K97" s="9">
        <v>55</v>
      </c>
      <c r="L97" s="62" t="str">
        <v>Не подтверждено</v>
      </c>
      <c r="M97" s="62" t="str">
        <v>Полный аудит изменения прав серверных компонентов, включая ОС, не установлен.</v>
      </c>
      <c r="N97" s="62" t="str">
        <v>ansible/roles/common/files/security-audit-normalizer.py:8–17, 184–272</v>
      </c>
    </row>
    <row r="98" spans="2:14" ht="42" customHeight="1">
      <c r="B98" s="10" t="s">
        <v>216</v>
      </c>
      <c r="C98" s="10" t="s">
        <v>217</v>
      </c>
      <c r="D98" s="11" t="s">
        <v>133</v>
      </c>
      <c r="E98" s="9" t="str">
        <f>IF(EXACT(IFERROR(VLOOKUP(B98,' Первый релиз (05.08)'!$A$1:$A$96,1,FALSE),"нет"),B98),"Да","Нет")</f>
        <v>Да</v>
      </c>
      <c r="F98" s="9" t="str">
        <f>IF(EXACT(IFERROR(VLOOKUP(B98,'Первый релиз (04.09)'!$A$1:$A$96,1,FALSE),"нет"),B98),"Да","Нет")</f>
        <v>Нет</v>
      </c>
      <c r="G98" s="9" t="s">
        <v>15</v>
      </c>
      <c r="H98" s="24" t="s">
        <v>15</v>
      </c>
      <c r="I98" s="9"/>
      <c r="J98" s="12"/>
      <c r="K98" s="9">
        <v>55</v>
      </c>
      <c r="L98" s="62" t="str">
        <v>Частично</v>
      </c>
      <c r="M98" s="62" t="str">
        <v>Есть аудит изменений Kolla. Изменения настроек серверных компонентов вне Kolla не подтверждены.</v>
      </c>
      <c r="N98" s="62" t="str">
        <v>kolla_ansible/security_audit.py
ansible/roles/common/files/security-audit-normalizer.py:208–209</v>
      </c>
    </row>
    <row r="99" spans="2:14" ht="42" customHeight="1">
      <c r="B99" s="10" t="s">
        <v>218</v>
      </c>
      <c r="C99" s="10" t="s">
        <v>219</v>
      </c>
      <c r="D99" s="11" t="s">
        <v>133</v>
      </c>
      <c r="E99" s="9" t="str">
        <f>IF(EXACT(IFERROR(VLOOKUP(B99,' Первый релиз (05.08)'!$A$1:$A$96,1,FALSE),"нет"),B99),"Да","Нет")</f>
        <v>Да</v>
      </c>
      <c r="F99" s="9" t="str">
        <f>IF(EXACT(IFERROR(VLOOKUP(B99,'Первый релиз (04.09)'!$A$1:$A$96,1,FALSE),"нет"),B99),"Да","Нет")</f>
        <v>Нет</v>
      </c>
      <c r="G99" s="9" t="s">
        <v>15</v>
      </c>
      <c r="H99" s="24" t="s">
        <v>15</v>
      </c>
      <c r="I99" s="9"/>
      <c r="J99" s="12"/>
      <c r="K99" s="9">
        <v>55</v>
      </c>
      <c r="L99" s="62" t="str">
        <v>Не подтверждено</v>
      </c>
      <c r="M99" s="62" t="str">
        <v>События доступности не доказывают аудит каждого запуска/остановки ПО серверных компонентов.</v>
      </c>
      <c r="N99" s="62" t="str">
        <v>ansible/roles/common/files/security-audit-normalizer.py:8–17, 184–272</v>
      </c>
    </row>
    <row r="100" spans="2:14" ht="45" customHeight="1">
      <c r="B100" s="10" t="s">
        <v>220</v>
      </c>
      <c r="C100" s="10" t="s">
        <v>221</v>
      </c>
      <c r="D100" s="11" t="s">
        <v>133</v>
      </c>
      <c r="E100" s="9" t="str">
        <f>IF(EXACT(IFERROR(VLOOKUP(B100,' Первый релиз (05.08)'!$A$1:$A$96,1,FALSE),"нет"),B100),"Да","Нет")</f>
        <v>Да</v>
      </c>
      <c r="F100" s="9" t="str">
        <f>IF(EXACT(IFERROR(VLOOKUP(B100,'Первый релиз (04.09)'!$A$1:$A$96,1,FALSE),"нет"),B100),"Да","Нет")</f>
        <v>Нет</v>
      </c>
      <c r="G100" s="9" t="s">
        <v>15</v>
      </c>
      <c r="H100" s="24" t="s">
        <v>15</v>
      </c>
      <c r="I100" s="9"/>
      <c r="J100" s="12"/>
      <c r="K100" s="9">
        <v>55</v>
      </c>
      <c r="L100" s="62" t="str">
        <v>Не подтверждено</v>
      </c>
      <c r="M100" s="62" t="str">
        <v>Нужно покрытие изменений настроек всех используемых средств защиты.</v>
      </c>
      <c r="N100" s="62" t="str">
        <v>ansible/roles/common/files/security-audit-normalizer.py:8–17, 184–272</v>
      </c>
    </row>
    <row r="101" spans="2:14" ht="42" customHeight="1">
      <c r="B101" s="10" t="s">
        <v>222</v>
      </c>
      <c r="C101" s="10" t="s">
        <v>213</v>
      </c>
      <c r="D101" s="11" t="s">
        <v>133</v>
      </c>
      <c r="E101" s="9" t="str">
        <f>IF(EXACT(IFERROR(VLOOKUP(B101,' Первый релиз (05.08)'!$A$1:$A$96,1,FALSE),"нет"),B101),"Да","Нет")</f>
        <v>Да</v>
      </c>
      <c r="F101" s="9" t="str">
        <f>IF(EXACT(IFERROR(VLOOKUP(B101,'Первый релиз (04.09)'!$A$1:$A$96,1,FALSE),"нет"),B101),"Да","Нет")</f>
        <v>Нет</v>
      </c>
      <c r="G101" s="9" t="s">
        <v>15</v>
      </c>
      <c r="H101" s="24" t="s">
        <v>15</v>
      </c>
      <c r="I101" s="9"/>
      <c r="J101" s="12"/>
      <c r="K101" s="9">
        <v>55</v>
      </c>
      <c r="L101" s="62" t="str">
        <v>Не подтверждено</v>
      </c>
      <c r="M101" s="62" t="str">
        <v>Повтор предмета ПКБ-05.13 в Excel: нужен подтверждённый аудит копирования текущего образа ВМ.</v>
      </c>
      <c r="N101" s="62" t="str">
        <v>ansible/roles/common/files/security-audit-normalizer.py:8–17, 184–272</v>
      </c>
    </row>
    <row r="102" spans="2:14" ht="42" customHeight="1">
      <c r="B102" s="10" t="s">
        <v>223</v>
      </c>
      <c r="C102" s="10" t="s">
        <v>215</v>
      </c>
      <c r="D102" s="11" t="s">
        <v>133</v>
      </c>
      <c r="E102" s="9" t="str">
        <f>IF(EXACT(IFERROR(VLOOKUP(B102,' Первый релиз (05.08)'!$A$1:$A$96,1,FALSE),"нет"),B102),"Да","Нет")</f>
        <v>Да</v>
      </c>
      <c r="F102" s="9" t="str">
        <f>IF(EXACT(IFERROR(VLOOKUP(B102,'Первый релиз (04.09)'!$A$1:$A$96,1,FALSE),"нет"),B102),"Да","Нет")</f>
        <v>Нет</v>
      </c>
      <c r="G102" s="9" t="s">
        <v>15</v>
      </c>
      <c r="H102" s="24" t="s">
        <v>15</v>
      </c>
      <c r="I102" s="9"/>
      <c r="J102" s="12"/>
      <c r="K102" s="9">
        <v>55</v>
      </c>
      <c r="L102" s="62" t="str">
        <v>Не подтверждено</v>
      </c>
      <c r="M102" s="62" t="str">
        <v>Повтор предмета ПКБ-05.14: нужен полный аудит изменения прав серверных компонентов.</v>
      </c>
      <c r="N102" s="62" t="str">
        <v>ansible/roles/common/files/security-audit-normalizer.py:8–17, 184–272</v>
      </c>
    </row>
    <row r="103" spans="2:14" ht="42" customHeight="1">
      <c r="B103" s="10" t="s">
        <v>224</v>
      </c>
      <c r="C103" s="10" t="s">
        <v>225</v>
      </c>
      <c r="D103" s="11" t="s">
        <v>133</v>
      </c>
      <c r="E103" s="9" t="str">
        <f>IF(EXACT(IFERROR(VLOOKUP(B103,' Первый релиз (05.08)'!$A$1:$A$96,1,FALSE),"нет"),B103),"Да","Нет")</f>
        <v>Да</v>
      </c>
      <c r="F103" s="9" t="str">
        <f>IF(EXACT(IFERROR(VLOOKUP(B103,'Первый релиз (04.09)'!$A$1:$A$96,1,FALSE),"нет"),B103),"Да","Нет")</f>
        <v>Нет</v>
      </c>
      <c r="G103" s="9" t="s">
        <v>15</v>
      </c>
      <c r="H103" s="24" t="s">
        <v>15</v>
      </c>
      <c r="I103" s="9"/>
      <c r="J103" s="12"/>
      <c r="K103" s="9">
        <v>55</v>
      </c>
      <c r="L103" s="62" t="str">
        <v>Частично</v>
      </c>
      <c r="M103" s="62" t="str">
        <v>Повтор предмета ПКБ-05.15: аудит Kolla есть, остальные способы изменения настроек не подтверждены.</v>
      </c>
      <c r="N103" s="62" t="str">
        <v>kolla_ansible/security_audit.py
ansible/roles/common/files/security-audit-normalizer.py:208–209</v>
      </c>
    </row>
    <row r="104" spans="2:14" ht="45" customHeight="1">
      <c r="B104" s="10" t="s">
        <v>226</v>
      </c>
      <c r="C104" s="10" t="s">
        <v>227</v>
      </c>
      <c r="D104" s="11" t="s">
        <v>133</v>
      </c>
      <c r="E104" s="9" t="str">
        <f>IF(EXACT(IFERROR(VLOOKUP(B104,' Первый релиз (05.08)'!$A$1:$A$96,1,FALSE),"нет"),B104),"Да","Нет")</f>
        <v>Да</v>
      </c>
      <c r="F104" s="9" t="str">
        <f>IF(EXACT(IFERROR(VLOOKUP(B104,'Первый релиз (04.09)'!$A$1:$A$96,1,FALSE),"нет"),B104),"Да","Нет")</f>
        <v>Нет</v>
      </c>
      <c r="G104" s="9" t="s">
        <v>15</v>
      </c>
      <c r="H104" s="24" t="s">
        <v>15</v>
      </c>
      <c r="I104" s="9"/>
      <c r="J104" s="12"/>
      <c r="K104" s="9">
        <v>55</v>
      </c>
      <c r="L104" s="62" t="str">
        <v>Не подтверждено</v>
      </c>
      <c r="M104" s="62" t="str">
        <v>Нужен сценарий запуска/остановки ПО с изменением параметров средств защиты и полный состав его события.</v>
      </c>
      <c r="N104" s="62" t="str">
        <v>ansible/roles/common/files/security-audit-normalizer.py:8–17, 184–272</v>
      </c>
    </row>
    <row r="105" spans="2:14" ht="45" customHeight="1">
      <c r="B105" s="10" t="s">
        <v>228</v>
      </c>
      <c r="C105" s="10" t="s">
        <v>229</v>
      </c>
      <c r="D105" s="11" t="s">
        <v>133</v>
      </c>
      <c r="E105" s="9" t="str">
        <f>IF(EXACT(IFERROR(VLOOKUP(B105,' Первый релиз (05.08)'!$A$1:$A$96,1,FALSE),"нет"),B105),"Да","Нет")</f>
        <v>Да</v>
      </c>
      <c r="F105" s="9" t="str">
        <f>IF(EXACT(IFERROR(VLOOKUP(B105,'Первый релиз (04.09)'!$A$1:$A$96,1,FALSE),"нет"),B105),"Да","Нет")</f>
        <v>Нет</v>
      </c>
      <c r="G105" s="9" t="s">
        <v>15</v>
      </c>
      <c r="H105" s="24" t="s">
        <v>15</v>
      </c>
      <c r="I105" s="9"/>
      <c r="J105" s="12"/>
      <c r="K105" s="9">
        <v>55</v>
      </c>
      <c r="L105" s="62" t="str">
        <v>Частично</v>
      </c>
      <c r="M105" s="62" t="str">
        <v>Есть события действий Kolla. Для автоматизированного сценария отдельно подтвердить время, пользователя, ID сценария и результат.</v>
      </c>
      <c r="N105" s="62" t="str">
        <v>kolla_ansible/security_audit.py
ansible/roles/common/files/security-audit-normalizer.py:208–209</v>
      </c>
    </row>
    <row r="106" spans="2:14" ht="42" customHeight="1">
      <c r="B106" s="10" t="s">
        <v>230</v>
      </c>
      <c r="C106" s="10" t="s">
        <v>231</v>
      </c>
      <c r="D106" s="11" t="s">
        <v>133</v>
      </c>
      <c r="E106" s="9" t="str">
        <f>IF(EXACT(IFERROR(VLOOKUP(B106,' Первый релиз (05.08)'!$A$1:$A$96,1,FALSE),"нет"),B106),"Да","Нет")</f>
        <v>Да</v>
      </c>
      <c r="F106" s="9" t="str">
        <f>IF(EXACT(IFERROR(VLOOKUP(B106,'Первый релиз (04.09)'!$A$1:$A$96,1,FALSE),"нет"),B106),"Да","Нет")</f>
        <v>Нет</v>
      </c>
      <c r="G106" s="9" t="s">
        <v>15</v>
      </c>
      <c r="H106" s="24" t="s">
        <v>15</v>
      </c>
      <c r="I106" s="9"/>
      <c r="J106" s="12"/>
      <c r="K106" s="9">
        <v>56</v>
      </c>
      <c r="L106" s="62" t="str">
        <v>Частично</v>
      </c>
      <c r="M106" s="62" t="str">
        <v>Есть маскирование чувствительных полей. Проверить отсутствие секретов, бизнес- и персональных данных во всех конечных журналах.</v>
      </c>
      <c r="N106" s="62" t="str">
        <v>ansible/roles/common/files/security-audit-normalizer.py:8–17, 184–272</v>
      </c>
    </row>
    <row r="107" spans="2:14" ht="42" customHeight="1">
      <c r="B107" s="10" t="s">
        <v>232</v>
      </c>
      <c r="C107" s="10" t="s">
        <v>233</v>
      </c>
      <c r="D107" s="11" t="s">
        <v>133</v>
      </c>
      <c r="E107" s="9" t="str">
        <f>IF(EXACT(IFERROR(VLOOKUP(B107,' Первый релиз (05.08)'!$A$1:$A$96,1,FALSE),"нет"),B107),"Да","Нет")</f>
        <v>Да</v>
      </c>
      <c r="F107" s="9" t="str">
        <f>IF(EXACT(IFERROR(VLOOKUP(B107,'Первый релиз (04.09)'!$A$1:$A$96,1,FALSE),"нет"),B107),"Да","Нет")</f>
        <v>Нет</v>
      </c>
      <c r="G107" s="9" t="s">
        <v>15</v>
      </c>
      <c r="H107" s="24" t="s">
        <v>15</v>
      </c>
      <c r="I107" s="9"/>
      <c r="J107" s="12"/>
      <c r="K107" s="9">
        <v>57</v>
      </c>
      <c r="L107" s="62" t="str">
        <v>Не подтверждено</v>
      </c>
      <c r="M107" s="62" t="str">
        <v>Полнота текста ошибки, включая системные сообщения, в конечном журнале не испытана. Согласовать с исключением секретов по ПКБ-06.</v>
      </c>
      <c r="N107" s="62" t="str">
        <v>ansible/roles/common/files/security-audit-normalizer.py:8–17, 184–272</v>
      </c>
    </row>
    <row r="108" spans="2:14" ht="42" customHeight="1">
      <c r="B108" s="10" t="s">
        <v>234</v>
      </c>
      <c r="C108" s="10" t="s">
        <v>235</v>
      </c>
      <c r="D108" s="11" t="s">
        <v>133</v>
      </c>
      <c r="E108" s="9" t="str">
        <f>IF(EXACT(IFERROR(VLOOKUP(B108,' Первый релиз (05.08)'!$A$1:$A$96,1,FALSE),"нет"),B108),"Да","Нет")</f>
        <v>Да</v>
      </c>
      <c r="F108" s="9" t="str">
        <f>IF(EXACT(IFERROR(VLOOKUP(B108,'Первый релиз (04.09)'!$A$1:$A$96,1,FALSE),"нет"),B108),"Да","Нет")</f>
        <v>Нет</v>
      </c>
      <c r="G108" s="9" t="s">
        <v>15</v>
      </c>
      <c r="H108" s="24" t="s">
        <v>15</v>
      </c>
      <c r="I108" s="9"/>
      <c r="J108" s="12"/>
      <c r="K108" s="9">
        <v>58</v>
      </c>
      <c r="L108" s="62" t="str">
        <v>Частично</v>
      </c>
      <c r="M108" s="62" t="str">
        <v>Есть Security Plugin и роли. Проверить эффективные права и отсутствие обходного доступа к аудиту вне приложения.</v>
      </c>
      <c r="N108" s="62" t="str">
        <v>ansible/roles/opensearch/defaults/main.yml:407–424, 457–467</v>
      </c>
    </row>
    <row r="109" spans="2:14" ht="42" hidden="1" customHeight="1">
      <c r="B109" s="13" t="s">
        <v>236</v>
      </c>
      <c r="C109" s="13" t="s">
        <v>237</v>
      </c>
      <c r="D109" s="14" t="s">
        <v>133</v>
      </c>
      <c r="E109" s="15" t="str">
        <f>IF(EXACT(IFERROR(VLOOKUP(B109,' Первый релиз (05.08)'!$A$1:$A$96,1,FALSE),"нет"),B109),"Да","Нет")</f>
        <v>Нет</v>
      </c>
      <c r="F109" s="15" t="str">
        <f>IF(EXACT(IFERROR(VLOOKUP(B109,'Первый релиз (04.09)'!$A$1:$A$96,1,FALSE),"нет"),B109),"Да","Нет")</f>
        <v>Нет</v>
      </c>
      <c r="G109" s="15" t="s">
        <v>62</v>
      </c>
      <c r="H109" s="15"/>
      <c r="I109" s="19"/>
      <c r="J109" s="28" t="s">
        <v>238</v>
      </c>
      <c r="K109" s="15">
        <v>59</v>
      </c>
      <c r="L109" s="62" t="str">
        <v>Вне объёма оценки</v>
      </c>
      <c r="M109" s="62" t="str">
        <v>В колонке H нет отметки «Да» для релиза 1.0. Выполнение по архиву в этой оценке не анализировалось.</v>
      </c>
      <c r="N109" s="62" t="str">
        <v>Исходный Excel, «Все требования», H109</v>
      </c>
    </row>
    <row r="110" spans="2:14" ht="45" customHeight="1">
      <c r="B110" s="10" t="s">
        <v>239</v>
      </c>
      <c r="C110" s="10" t="s">
        <v>240</v>
      </c>
      <c r="D110" s="11" t="s">
        <v>133</v>
      </c>
      <c r="E110" s="9" t="str">
        <f>IF(EXACT(IFERROR(VLOOKUP(B110,' Первый релиз (05.08)'!$A$1:$A$96,1,FALSE),"нет"),B110),"Да","Нет")</f>
        <v>Нет</v>
      </c>
      <c r="F110" s="9" t="str">
        <f>IF(EXACT(IFERROR(VLOOKUP(B110,'Первый релиз (04.09)'!$A$1:$A$96,1,FALSE),"нет"),B110),"Да","Нет")</f>
        <v>Да</v>
      </c>
      <c r="G110" s="9" t="s">
        <v>15</v>
      </c>
      <c r="H110" s="24" t="s">
        <v>15</v>
      </c>
      <c r="I110" s="9"/>
      <c r="J110" s="12"/>
      <c r="K110" s="9">
        <v>140</v>
      </c>
      <c r="L110" s="62" t="str">
        <v>Не подтверждено</v>
      </c>
      <c r="M110" s="62" t="str">
        <v>Оповещения/контроль доступности не доказывают весь сценарий реакции на события безопасности. Нужен протокол реакции.</v>
      </c>
      <c r="N110" s="62" t="str">
        <v>Исходный Excel; отдельные документы и протоколы не представлены</v>
      </c>
    </row>
    <row r="111" spans="2:14" ht="45" hidden="1" customHeight="1">
      <c r="B111" s="13" t="s">
        <v>241</v>
      </c>
      <c r="C111" s="13" t="s">
        <v>242</v>
      </c>
      <c r="D111" s="14" t="s">
        <v>133</v>
      </c>
      <c r="E111" s="15" t="str">
        <f>IF(EXACT(IFERROR(VLOOKUP(B111,' Первый релиз (05.08)'!$A$1:$A$96,1,FALSE),"нет"),B111),"Да","Нет")</f>
        <v>Да</v>
      </c>
      <c r="F111" s="15" t="str">
        <f>IF(EXACT(IFERROR(VLOOKUP(B111,'Первый релиз (04.09)'!$A$1:$A$96,1,FALSE),"нет"),B111),"Да","Нет")</f>
        <v>Нет</v>
      </c>
      <c r="G111" s="15" t="s">
        <v>62</v>
      </c>
      <c r="H111" s="15"/>
      <c r="I111" s="19"/>
      <c r="J111" s="28" t="s">
        <v>243</v>
      </c>
      <c r="K111" s="15">
        <v>141</v>
      </c>
      <c r="L111" s="62" t="str">
        <v>Вне объёма оценки</v>
      </c>
      <c r="M111" s="62" t="str">
        <v>В колонке H нет отметки «Да» для релиза 1.0. Выполнение по архиву в этой оценке не анализировалось.</v>
      </c>
      <c r="N111" s="62" t="str">
        <v>Исходный Excel, «Все требования», H111</v>
      </c>
    </row>
    <row r="112" spans="2:14" ht="60" hidden="1" customHeight="1">
      <c r="B112" s="10" t="s">
        <v>244</v>
      </c>
      <c r="C112" s="10" t="s">
        <v>245</v>
      </c>
      <c r="D112" s="11" t="s">
        <v>133</v>
      </c>
      <c r="E112" s="9" t="str">
        <f>IF(EXACT(IFERROR(VLOOKUP(B112,' Первый релиз (05.08)'!$A$1:$A$96,1,FALSE),"нет"),B112),"Да","Нет")</f>
        <v>Нет</v>
      </c>
      <c r="F112" s="9" t="str">
        <f>IF(EXACT(IFERROR(VLOOKUP(B112,'Первый релиз (04.09)'!$A$1:$A$96,1,FALSE),"нет"),B112),"Да","Нет")</f>
        <v>Нет</v>
      </c>
      <c r="G112" s="9" t="s">
        <v>21</v>
      </c>
      <c r="H112" s="9"/>
      <c r="I112" s="19"/>
      <c r="J112" s="12"/>
      <c r="K112" s="9">
        <v>142</v>
      </c>
      <c r="L112" s="62" t="str">
        <v>Вне объёма оценки</v>
      </c>
      <c r="M112" s="62" t="str">
        <v>В колонке H нет отметки «Да» для релиза 1.0. Выполнение по архиву в этой оценке не анализировалось.</v>
      </c>
      <c r="N112" s="62" t="str">
        <v>Исходный Excel, «Все требования», H112</v>
      </c>
    </row>
    <row r="113" spans="2:14" ht="45" hidden="1" customHeight="1">
      <c r="B113" s="10" t="s">
        <v>246</v>
      </c>
      <c r="C113" s="10" t="s">
        <v>247</v>
      </c>
      <c r="D113" s="11" t="s">
        <v>133</v>
      </c>
      <c r="E113" s="9" t="str">
        <f>IF(EXACT(IFERROR(VLOOKUP(B113,' Первый релиз (05.08)'!$A$1:$A$96,1,FALSE),"нет"),B113),"Да","Нет")</f>
        <v>Нет</v>
      </c>
      <c r="F113" s="9" t="str">
        <f>IF(EXACT(IFERROR(VLOOKUP(B113,'Первый релиз (04.09)'!$A$1:$A$96,1,FALSE),"нет"),B113),"Да","Нет")</f>
        <v>Нет</v>
      </c>
      <c r="G113" s="9" t="s">
        <v>21</v>
      </c>
      <c r="H113" s="9"/>
      <c r="I113" s="19"/>
      <c r="J113" s="12"/>
      <c r="K113" s="9">
        <v>143</v>
      </c>
      <c r="L113" s="62" t="str">
        <v>Вне объёма оценки</v>
      </c>
      <c r="M113" s="62" t="str">
        <v>В колонке H нет отметки «Да» для релиза 1.0. Выполнение по архиву в этой оценке не анализировалось.</v>
      </c>
      <c r="N113" s="62" t="str">
        <v>Исходный Excel, «Все требования», H113</v>
      </c>
    </row>
    <row r="114" spans="2:14" ht="42" hidden="1" customHeight="1">
      <c r="B114" s="10" t="s">
        <v>248</v>
      </c>
      <c r="C114" s="10" t="s">
        <v>249</v>
      </c>
      <c r="D114" s="11" t="s">
        <v>133</v>
      </c>
      <c r="E114" s="9" t="str">
        <f>IF(EXACT(IFERROR(VLOOKUP(B114,' Первый релиз (05.08)'!$A$1:$A$96,1,FALSE),"нет"),B114),"Да","Нет")</f>
        <v>Нет</v>
      </c>
      <c r="F114" s="9" t="str">
        <f>IF(EXACT(IFERROR(VLOOKUP(B114,'Первый релиз (04.09)'!$A$1:$A$96,1,FALSE),"нет"),B114),"Да","Нет")</f>
        <v>Нет</v>
      </c>
      <c r="G114" s="9" t="s">
        <v>21</v>
      </c>
      <c r="H114" s="9"/>
      <c r="I114" s="19"/>
      <c r="J114" s="12"/>
      <c r="K114" s="9">
        <v>144</v>
      </c>
      <c r="L114" s="62" t="str">
        <v>Вне объёма оценки</v>
      </c>
      <c r="M114" s="62" t="str">
        <v>В колонке H нет отметки «Да» для релиза 1.0. Выполнение по архиву в этой оценке не анализировалось.</v>
      </c>
      <c r="N114" s="62" t="str">
        <v>Исходный Excel, «Все требования», H114</v>
      </c>
    </row>
    <row r="115" spans="2:14" ht="45" customHeight="1">
      <c r="B115" s="10" t="s">
        <v>250</v>
      </c>
      <c r="C115" s="10" t="s">
        <v>251</v>
      </c>
      <c r="D115" s="11" t="s">
        <v>133</v>
      </c>
      <c r="E115" s="9" t="str">
        <f>IF(EXACT(IFERROR(VLOOKUP(B115,' Первый релиз (05.08)'!$A$1:$A$96,1,FALSE),"нет"),B115),"Да","Нет")</f>
        <v>Да</v>
      </c>
      <c r="F115" s="9" t="str">
        <f>IF(EXACT(IFERROR(VLOOKUP(B115,'Первый релиз (04.09)'!$A$1:$A$96,1,FALSE),"нет"),B115),"Да","Нет")</f>
        <v>Нет</v>
      </c>
      <c r="G115" s="9" t="s">
        <v>15</v>
      </c>
      <c r="H115" s="24" t="s">
        <v>15</v>
      </c>
      <c r="I115" s="9"/>
      <c r="J115" s="12"/>
      <c r="K115" s="9">
        <v>145</v>
      </c>
      <c r="L115" s="62" t="str">
        <v>Частично</v>
      </c>
      <c r="M115" s="62" t="str">
        <v>Есть роль чтения/Dashboards. Проверить отбор, отчёты и экспорт именно под целевой ролью.</v>
      </c>
      <c r="N115" s="62" t="str">
        <v>ansible/roles/opensearch/defaults/main.yml:407–424, 457–467</v>
      </c>
    </row>
    <row r="116" spans="2:14" ht="42" customHeight="1">
      <c r="B116" s="10" t="s">
        <v>252</v>
      </c>
      <c r="C116" s="10" t="s">
        <v>253</v>
      </c>
      <c r="D116" s="11" t="s">
        <v>133</v>
      </c>
      <c r="E116" s="9" t="str">
        <f>IF(EXACT(IFERROR(VLOOKUP(B116,' Первый релиз (05.08)'!$A$1:$A$96,1,FALSE),"нет"),B116),"Да","Нет")</f>
        <v>Да</v>
      </c>
      <c r="F116" s="9" t="str">
        <f>IF(EXACT(IFERROR(VLOOKUP(B116,'Первый релиз (04.09)'!$A$1:$A$96,1,FALSE),"нет"),B116),"Да","Нет")</f>
        <v>Нет</v>
      </c>
      <c r="G116" s="9" t="s">
        <v>15</v>
      </c>
      <c r="H116" s="24" t="s">
        <v>15</v>
      </c>
      <c r="I116" s="9"/>
      <c r="J116" s="12"/>
      <c r="K116" s="9">
        <v>146</v>
      </c>
      <c r="L116" s="62" t="str">
        <v>Не подтверждено</v>
      </c>
      <c r="M116" s="62" t="str">
        <v>Нужен протокол совместимости целевых версий продукта и BI.ZONE EDR. В архиве такое доказательство не установлено.</v>
      </c>
      <c r="N116" s="62" t="str">
        <v>Исходный Excel; отдельные документы и протоколы не представлены</v>
      </c>
    </row>
    <row r="117" spans="2:14" ht="42" customHeight="1">
      <c r="B117" s="10" t="s">
        <v>254</v>
      </c>
      <c r="C117" s="10" t="s">
        <v>255</v>
      </c>
      <c r="D117" s="11" t="s">
        <v>256</v>
      </c>
      <c r="E117" s="9" t="str">
        <f>IF(EXACT(IFERROR(VLOOKUP(B117,' Первый релиз (05.08)'!$A$1:$A$96,1,FALSE),"нет"),B117),"Да","Нет")</f>
        <v>Да</v>
      </c>
      <c r="F117" s="9" t="str">
        <f>IF(EXACT(IFERROR(VLOOKUP(B117,'Первый релиз (04.09)'!$A$1:$A$96,1,FALSE),"нет"),B117),"Да","Нет")</f>
        <v>Да</v>
      </c>
      <c r="G117" s="9" t="s">
        <v>15</v>
      </c>
      <c r="H117" s="24" t="s">
        <v>15</v>
      </c>
      <c r="I117" s="9"/>
      <c r="J117" s="12"/>
      <c r="K117" s="9">
        <v>63</v>
      </c>
      <c r="L117" s="62" t="str">
        <v>Частично</v>
      </c>
      <c r="M117" s="62" t="str">
        <v>SecMan backend реализован. Подтвердить API, доверие, AppRole/ACL и работу с endpoint банка.</v>
      </c>
      <c r="N117" s="62" t="str">
        <v>kolla_ansible/secret_backends.py:26–57
ansible/group_vars/all.yml:1807–1813</v>
      </c>
    </row>
    <row r="118" spans="2:14" ht="42" customHeight="1">
      <c r="B118" s="10" t="s">
        <v>257</v>
      </c>
      <c r="C118" s="10" t="s">
        <v>258</v>
      </c>
      <c r="D118" s="11" t="s">
        <v>256</v>
      </c>
      <c r="E118" s="9" t="str">
        <f>IF(EXACT(IFERROR(VLOOKUP(B118,' Первый релиз (05.08)'!$A$1:$A$96,1,FALSE),"нет"),B118),"Да","Нет")</f>
        <v>Да</v>
      </c>
      <c r="F118" s="9" t="str">
        <f>IF(EXACT(IFERROR(VLOOKUP(B118,'Первый релиз (04.09)'!$A$1:$A$96,1,FALSE),"нет"),B118),"Да","Нет")</f>
        <v>Да</v>
      </c>
      <c r="G118" s="9" t="s">
        <v>15</v>
      </c>
      <c r="H118" s="24" t="s">
        <v>15</v>
      </c>
      <c r="I118" s="9"/>
      <c r="J118" s="12"/>
      <c r="K118" s="9">
        <v>66</v>
      </c>
      <c r="L118" s="62" t="str">
        <v>Не подтверждено для поставки</v>
      </c>
      <c r="M118" s="62" t="str">
        <v>Upstream Nova поддерживает Secure Boot. Подтвердить firmware/traits, параметры гостя и загрузку в целевых образах.</v>
      </c>
      <c r="N118" s="62" t="str">
        <v>ansible/roles/nova-cell/templates/nova.conf.j2
https://docs.openstack.org/nova/2025.1/admin/secure-boot.html</v>
      </c>
    </row>
    <row r="119" spans="2:14" ht="58" customHeight="1">
      <c r="B119" s="10" t="s">
        <v>259</v>
      </c>
      <c r="C119" s="10" t="s">
        <v>260</v>
      </c>
      <c r="D119" s="11" t="s">
        <v>256</v>
      </c>
      <c r="E119" s="9" t="str">
        <f>IF(EXACT(IFERROR(VLOOKUP(B119,' Первый релиз (05.08)'!$A$1:$A$96,1,FALSE),"нет"),B119),"Да","Нет")</f>
        <v>Да</v>
      </c>
      <c r="F119" s="9" t="str">
        <f>IF(EXACT(IFERROR(VLOOKUP(B119,'Первый релиз (04.09)'!$A$1:$A$96,1,FALSE),"нет"),B119),"Да","Нет")</f>
        <v>Да</v>
      </c>
      <c r="G119" s="9" t="s">
        <v>15</v>
      </c>
      <c r="H119" s="24" t="s">
        <v>15</v>
      </c>
      <c r="I119" s="9"/>
      <c r="J119" s="12"/>
      <c r="K119" s="9">
        <v>67</v>
      </c>
      <c r="L119" s="62" t="str">
        <v>Не подтверждено для поставки</v>
      </c>
      <c r="M119" s="62" t="str">
        <v>Upstream Nova поддерживает vTPM. В Kolla-шаблонах не найден swtpm_enabled. Проверить swtpm, key manager и гостевой TPM; ограничения миграции проверить отдельно.</v>
      </c>
      <c r="N119" s="62" t="str">
        <v>ansible/roles/nova-cell/templates/nova.conf.j2
https://docs.openstack.org/nova/2025.1/admin/emulated-tpm.html</v>
      </c>
    </row>
    <row r="120" spans="2:14" ht="58" customHeight="1">
      <c r="B120" s="10" t="s">
        <v>261</v>
      </c>
      <c r="C120" s="10" t="s">
        <v>262</v>
      </c>
      <c r="D120" s="11" t="s">
        <v>256</v>
      </c>
      <c r="E120" s="9" t="str">
        <f>IF(EXACT(IFERROR(VLOOKUP(B120,' Первый релиз (05.08)'!$A$1:$A$96,1,FALSE),"нет"),B120),"Да","Нет")</f>
        <v>Да</v>
      </c>
      <c r="F120" s="9" t="str">
        <f>IF(EXACT(IFERROR(VLOOKUP(B120,'Первый релиз (04.09)'!$A$1:$A$96,1,FALSE),"нет"),B120),"Да","Нет")</f>
        <v>Да</v>
      </c>
      <c r="G120" s="9" t="s">
        <v>15</v>
      </c>
      <c r="H120" s="24" t="s">
        <v>15</v>
      </c>
      <c r="I120" s="9"/>
      <c r="J120" s="12"/>
      <c r="K120" s="9">
        <v>70</v>
      </c>
      <c r="L120" s="62" t="str">
        <v>Частично</v>
      </c>
      <c r="M120" s="62" t="str">
        <v>Есть идентификация образов по digest через image lock. Нужны релизный манифест и артефакты идентификации остальных компонентов; default lock пуст.</v>
      </c>
      <c r="N120" s="62" t="str">
        <v>ansible/module_utils/kolla_image_lock.py:53–139
ansible/group_vars/all.yml:135–153</v>
      </c>
    </row>
    <row r="121" spans="2:14" ht="60" customHeight="1">
      <c r="B121" s="10" t="s">
        <v>263</v>
      </c>
      <c r="C121" s="10" t="s">
        <v>264</v>
      </c>
      <c r="D121" s="11" t="s">
        <v>256</v>
      </c>
      <c r="E121" s="9" t="str">
        <f>IF(EXACT(IFERROR(VLOOKUP(B121,' Первый релиз (05.08)'!$A$1:$A$96,1,FALSE),"нет"),B121),"Да","Нет")</f>
        <v>Да</v>
      </c>
      <c r="F121" s="9" t="str">
        <f>IF(EXACT(IFERROR(VLOOKUP(B121,'Первый релиз (04.09)'!$A$1:$A$96,1,FALSE),"нет"),B121),"Да","Нет")</f>
        <v>Да</v>
      </c>
      <c r="G121" s="9" t="s">
        <v>15</v>
      </c>
      <c r="H121" s="24" t="s">
        <v>15</v>
      </c>
      <c r="I121" s="9"/>
      <c r="J121" s="12"/>
      <c r="K121" s="9">
        <v>72</v>
      </c>
      <c r="L121" s="62" t="str">
        <v>Частично</v>
      </c>
      <c r="M121" s="62" t="str">
        <v>Есть процедуры upgrade. Выпуск производителем плановых и оперативных обновлений требует подтверждения процесса и поставок.</v>
      </c>
      <c r="N121" s="62" t="str">
        <v>ansible/roles/nova-cell/tasks/upgrade.yml
.gitlab-ci.yml; отдельные релизные артефакты не представлены</v>
      </c>
    </row>
    <row r="122" spans="2:14" ht="58" customHeight="1">
      <c r="B122" s="10" t="s">
        <v>265</v>
      </c>
      <c r="C122" s="10" t="s">
        <v>266</v>
      </c>
      <c r="D122" s="11" t="s">
        <v>256</v>
      </c>
      <c r="E122" s="9" t="str">
        <f>IF(EXACT(IFERROR(VLOOKUP(B122,' Первый релиз (05.08)'!$A$1:$A$96,1,FALSE),"нет"),B122),"Да","Нет")</f>
        <v>Да</v>
      </c>
      <c r="F122" s="9" t="str">
        <f>IF(EXACT(IFERROR(VLOOKUP(B122,'Первый релиз (04.09)'!$A$1:$A$96,1,FALSE),"нет"),B122),"Да","Нет")</f>
        <v>Да</v>
      </c>
      <c r="G122" s="9" t="s">
        <v>15</v>
      </c>
      <c r="H122" s="24" t="s">
        <v>15</v>
      </c>
      <c r="I122" s="9"/>
      <c r="J122" s="12"/>
      <c r="K122" s="9">
        <v>147</v>
      </c>
      <c r="L122" s="62" t="str">
        <v>Не подтверждено</v>
      </c>
      <c r="M122" s="62" t="str">
        <v>SBOM релизных образов/компонентов и его формирование в предоставленном архиве не установлены. requirements.txt и image lock SBOM не заменяют.</v>
      </c>
      <c r="N122" s="62" t="str">
        <v>ansible/roles/nova-cell/tasks/upgrade.yml
.gitlab-ci.yml; отдельные релизные артефакты не представлены</v>
      </c>
    </row>
    <row r="123" spans="2:14" ht="135" customHeight="1">
      <c r="B123" s="10" t="s">
        <v>267</v>
      </c>
      <c r="C123" s="10" t="s">
        <v>268</v>
      </c>
      <c r="D123" s="11" t="s">
        <v>256</v>
      </c>
      <c r="E123" s="9" t="str">
        <f>IF(EXACT(IFERROR(VLOOKUP(B123,' Первый релиз (05.08)'!$A$1:$A$96,1,FALSE),"нет"),B123),"Да","Нет")</f>
        <v>Да</v>
      </c>
      <c r="F123" s="9" t="str">
        <f>IF(EXACT(IFERROR(VLOOKUP(B123,'Первый релиз (04.09)'!$A$1:$A$96,1,FALSE),"нет"),B123),"Да","Нет")</f>
        <v>Нет</v>
      </c>
      <c r="G123" s="9" t="s">
        <v>15</v>
      </c>
      <c r="H123" s="24" t="s">
        <v>15</v>
      </c>
      <c r="I123" s="9"/>
      <c r="J123" s="12"/>
      <c r="K123" s="9" t="s">
        <v>269</v>
      </c>
      <c r="L123" s="62" t="str">
        <v>Не подтверждено</v>
      </c>
      <c r="M123" s="62" t="str">
        <v>Нужны опубликованные бюллетени/обновления с контрольными суммами всех файлов и инструкциями установки/настройки.</v>
      </c>
      <c r="N123" s="62" t="str">
        <v>ansible/roles/nova-cell/tasks/upgrade.yml
.gitlab-ci.yml; отдельные релизные артефакты не представлены</v>
      </c>
    </row>
    <row r="124" spans="2:14" ht="60" customHeight="1">
      <c r="B124" s="10" t="s">
        <v>270</v>
      </c>
      <c r="C124" s="10" t="s">
        <v>271</v>
      </c>
      <c r="D124" s="11" t="s">
        <v>256</v>
      </c>
      <c r="E124" s="9" t="str">
        <f>IF(EXACT(IFERROR(VLOOKUP(B124,' Первый релиз (05.08)'!$A$1:$A$96,1,FALSE),"нет"),B124),"Да","Нет")</f>
        <v>Да</v>
      </c>
      <c r="F124" s="9" t="str">
        <f>IF(EXACT(IFERROR(VLOOKUP(B124,'Первый релиз (04.09)'!$A$1:$A$96,1,FALSE),"нет"),B124),"Да","Нет")</f>
        <v>Нет</v>
      </c>
      <c r="G124" s="9" t="s">
        <v>15</v>
      </c>
      <c r="H124" s="24" t="s">
        <v>15</v>
      </c>
      <c r="I124" s="9"/>
      <c r="J124" s="12"/>
      <c r="K124" s="9" t="s">
        <v>272</v>
      </c>
      <c r="L124" s="62" t="str">
        <v>Не подтверждено</v>
      </c>
      <c r="M124" s="62" t="str">
        <v>Нужен бюллетень со списком уязвимостей, критичностью и ссылками на первоисточники.</v>
      </c>
      <c r="N124" s="62" t="str">
        <v>ansible/roles/nova-cell/tasks/upgrade.yml
.gitlab-ci.yml; отдельные релизные артефакты не представлены</v>
      </c>
    </row>
    <row r="125" spans="2:14" ht="58" customHeight="1">
      <c r="B125" s="10" t="s">
        <v>273</v>
      </c>
      <c r="C125" s="10" t="s">
        <v>274</v>
      </c>
      <c r="D125" s="11" t="s">
        <v>256</v>
      </c>
      <c r="E125" s="9" t="str">
        <f>IF(EXACT(IFERROR(VLOOKUP(B125,' Первый релиз (05.08)'!$A$1:$A$96,1,FALSE),"нет"),B125),"Да","Нет")</f>
        <v>Да</v>
      </c>
      <c r="F125" s="9" t="str">
        <f>IF(EXACT(IFERROR(VLOOKUP(B125,'Первый релиз (04.09)'!$A$1:$A$96,1,FALSE),"нет"),B125),"Да","Нет")</f>
        <v>Да</v>
      </c>
      <c r="G125" s="9" t="s">
        <v>15</v>
      </c>
      <c r="H125" s="24" t="s">
        <v>15</v>
      </c>
      <c r="I125" s="9"/>
      <c r="J125" s="12"/>
      <c r="K125" s="9">
        <v>73</v>
      </c>
      <c r="L125" s="62" t="str">
        <v>Есть механизм</v>
      </c>
      <c r="M125" s="62" t="str">
        <v>Есть SELinux-профили и проверка Enforcing. Флаг профилей по умолчанию выключен; фактический режим хостов и метки контейнеров требуют проверки.</v>
      </c>
      <c r="N125" s="62" t="str">
        <v>ansible/roles/selinux-profiles/tasks/enforce.yml:89–100
ansible/group_vars/all.yml:128</v>
      </c>
    </row>
    <row r="126" spans="2:14" ht="42" hidden="1" customHeight="1">
      <c r="B126" s="10" t="s">
        <v>275</v>
      </c>
      <c r="C126" s="10" t="s">
        <v>276</v>
      </c>
      <c r="D126" s="11" t="s">
        <v>256</v>
      </c>
      <c r="E126" s="9" t="str">
        <f>IF(EXACT(IFERROR(VLOOKUP(B126,' Первый релиз (05.08)'!$A$1:$A$96,1,FALSE),"нет"),B126),"Да","Нет")</f>
        <v>Нет</v>
      </c>
      <c r="F126" s="9" t="str">
        <f>IF(EXACT(IFERROR(VLOOKUP(B126,'Первый релиз (04.09)'!$A$1:$A$96,1,FALSE),"нет"),B126),"Да","Нет")</f>
        <v>Нет</v>
      </c>
      <c r="G126" s="9" t="s">
        <v>21</v>
      </c>
      <c r="H126" s="9"/>
      <c r="I126" s="19"/>
      <c r="J126" s="12"/>
      <c r="K126" s="9">
        <v>75</v>
      </c>
      <c r="L126" s="62" t="str">
        <v>Вне объёма оценки</v>
      </c>
      <c r="M126" s="62" t="str">
        <v>В колонке H нет отметки «Да» для релиза 1.0. Выполнение по архиву в этой оценке не анализировалось.</v>
      </c>
      <c r="N126" s="62" t="str">
        <v>Исходный Excel, «Все требования», H126</v>
      </c>
    </row>
    <row r="127" spans="2:14" ht="42" hidden="1" customHeight="1">
      <c r="B127" s="10" t="s">
        <v>277</v>
      </c>
      <c r="C127" s="10" t="s">
        <v>278</v>
      </c>
      <c r="D127" s="11" t="s">
        <v>256</v>
      </c>
      <c r="E127" s="9" t="str">
        <f>IF(EXACT(IFERROR(VLOOKUP(B127,' Первый релиз (05.08)'!$A$1:$A$96,1,FALSE),"нет"),B127),"Да","Нет")</f>
        <v>Нет</v>
      </c>
      <c r="F127" s="9" t="str">
        <f>IF(EXACT(IFERROR(VLOOKUP(B127,'Первый релиз (04.09)'!$A$1:$A$96,1,FALSE),"нет"),B127),"Да","Нет")</f>
        <v>Да</v>
      </c>
      <c r="G127" s="9" t="s">
        <v>62</v>
      </c>
      <c r="H127" s="9"/>
      <c r="I127" s="19"/>
      <c r="J127" s="29"/>
      <c r="K127" s="9">
        <v>76</v>
      </c>
      <c r="L127" s="62" t="str">
        <v>Вне объёма оценки</v>
      </c>
      <c r="M127" s="62" t="str">
        <v>В колонке H нет отметки «Да» для релиза 1.0. Выполнение по архиву в этой оценке не анализировалось.</v>
      </c>
      <c r="N127" s="62" t="str">
        <v>Исходный Excel, «Все требования», H127</v>
      </c>
    </row>
    <row r="128" spans="2:14" ht="42" hidden="1" customHeight="1">
      <c r="B128" s="10" t="s">
        <v>279</v>
      </c>
      <c r="C128" s="10" t="s">
        <v>280</v>
      </c>
      <c r="D128" s="11" t="s">
        <v>256</v>
      </c>
      <c r="E128" s="9" t="str">
        <f>IF(EXACT(IFERROR(VLOOKUP(B128,' Первый релиз (05.08)'!$A$1:$A$96,1,FALSE),"нет"),B128),"Да","Нет")</f>
        <v>Нет</v>
      </c>
      <c r="F128" s="9" t="str">
        <f>IF(EXACT(IFERROR(VLOOKUP(B128,'Первый релиз (04.09)'!$A$1:$A$96,1,FALSE),"нет"),B128),"Да","Нет")</f>
        <v>Да</v>
      </c>
      <c r="G128" s="9" t="s">
        <v>21</v>
      </c>
      <c r="H128" s="9"/>
      <c r="I128" s="19"/>
      <c r="J128" s="12"/>
      <c r="K128" s="9">
        <v>77</v>
      </c>
      <c r="L128" s="62" t="str">
        <v>Вне объёма оценки</v>
      </c>
      <c r="M128" s="62" t="str">
        <v>В колонке H нет отметки «Да» для релиза 1.0. Выполнение по архиву в этой оценке не анализировалось.</v>
      </c>
      <c r="N128" s="62" t="str">
        <v>Исходный Excel, «Все требования», H128</v>
      </c>
    </row>
    <row r="129" spans="2:14" ht="58" customHeight="1">
      <c r="B129" s="10" t="s">
        <v>281</v>
      </c>
      <c r="C129" s="10" t="s">
        <v>282</v>
      </c>
      <c r="D129" s="11" t="s">
        <v>256</v>
      </c>
      <c r="E129" s="9" t="str">
        <f>IF(EXACT(IFERROR(VLOOKUP(B129,' Первый релиз (05.08)'!$A$1:$A$96,1,FALSE),"нет"),B129),"Да","Нет")</f>
        <v>Да</v>
      </c>
      <c r="F129" s="9" t="str">
        <f>IF(EXACT(IFERROR(VLOOKUP(B129,'Первый релиз (04.09)'!$A$1:$A$96,1,FALSE),"нет"),B129),"Да","Нет")</f>
        <v>Да</v>
      </c>
      <c r="G129" s="9" t="s">
        <v>15</v>
      </c>
      <c r="H129" s="24" t="s">
        <v>15</v>
      </c>
      <c r="I129" s="9"/>
      <c r="J129" s="12"/>
      <c r="K129" s="9">
        <v>78</v>
      </c>
      <c r="L129" s="62" t="str">
        <v>Есть механизм настройки</v>
      </c>
      <c r="M129" s="62" t="str">
        <v>Есть переменные registry/namespace и ограничение источника через lock. Default localhost не подтверждает размещение образов в репозитории банка.</v>
      </c>
      <c r="N129" s="62" t="str">
        <v>ansible/module_utils/kolla_image_lock.py:53–139
ansible/group_vars/all.yml:135–153</v>
      </c>
    </row>
    <row r="130" spans="2:14" ht="42" hidden="1" customHeight="1">
      <c r="B130" s="10" t="s">
        <v>283</v>
      </c>
      <c r="C130" s="10" t="s">
        <v>284</v>
      </c>
      <c r="D130" s="11" t="s">
        <v>256</v>
      </c>
      <c r="E130" s="9" t="str">
        <f>IF(EXACT(IFERROR(VLOOKUP(B130,' Первый релиз (05.08)'!$A$1:$A$96,1,FALSE),"нет"),B130),"Да","Нет")</f>
        <v>Нет</v>
      </c>
      <c r="F130" s="9" t="str">
        <f>IF(EXACT(IFERROR(VLOOKUP(B130,'Первый релиз (04.09)'!$A$1:$A$96,1,FALSE),"нет"),B130),"Да","Нет")</f>
        <v>Нет</v>
      </c>
      <c r="G130" s="9" t="s">
        <v>21</v>
      </c>
      <c r="H130" s="9"/>
      <c r="I130" s="19"/>
      <c r="J130" s="12"/>
      <c r="K130" s="9">
        <v>79</v>
      </c>
      <c r="L130" s="62" t="str">
        <v>Вне объёма оценки</v>
      </c>
      <c r="M130" s="62" t="str">
        <v>В колонке H нет отметки «Да» для релиза 1.0. Выполнение по архиву в этой оценке не анализировалось.</v>
      </c>
      <c r="N130" s="62" t="str">
        <v>Исходный Excel, «Все требования», H130</v>
      </c>
    </row>
    <row r="131" spans="2:14" ht="42" hidden="1" customHeight="1">
      <c r="B131" s="10" t="s">
        <v>285</v>
      </c>
      <c r="C131" s="10" t="s">
        <v>286</v>
      </c>
      <c r="D131" s="11" t="s">
        <v>256</v>
      </c>
      <c r="E131" s="9" t="str">
        <f>IF(EXACT(IFERROR(VLOOKUP(B131,' Первый релиз (05.08)'!$A$1:$A$96,1,FALSE),"нет"),B131),"Да","Нет")</f>
        <v>Нет</v>
      </c>
      <c r="F131" s="9" t="str">
        <f>IF(EXACT(IFERROR(VLOOKUP(B131,'Первый релиз (04.09)'!$A$1:$A$96,1,FALSE),"нет"),B131),"Да","Нет")</f>
        <v>Нет</v>
      </c>
      <c r="G131" s="9" t="s">
        <v>21</v>
      </c>
      <c r="H131" s="9"/>
      <c r="I131" s="19"/>
      <c r="J131" s="12"/>
      <c r="K131" s="9">
        <v>82</v>
      </c>
      <c r="L131" s="62" t="str">
        <v>Вне объёма оценки</v>
      </c>
      <c r="M131" s="62" t="str">
        <v>В колонке H нет отметки «Да» для релиза 1.0. Выполнение по архиву в этой оценке не анализировалось.</v>
      </c>
      <c r="N131" s="62" t="str">
        <v>Исходный Excel, «Все требования», H131</v>
      </c>
    </row>
    <row r="132" spans="2:14" ht="42" hidden="1" customHeight="1">
      <c r="B132" s="10" t="s">
        <v>287</v>
      </c>
      <c r="C132" s="10" t="s">
        <v>288</v>
      </c>
      <c r="D132" s="11" t="s">
        <v>256</v>
      </c>
      <c r="E132" s="9" t="str">
        <f>IF(EXACT(IFERROR(VLOOKUP(B132,' Первый релиз (05.08)'!$A$1:$A$96,1,FALSE),"нет"),B132),"Да","Нет")</f>
        <v>Нет</v>
      </c>
      <c r="F132" s="9" t="str">
        <f>IF(EXACT(IFERROR(VLOOKUP(B132,'Первый релиз (04.09)'!$A$1:$A$96,1,FALSE),"нет"),B132),"Да","Нет")</f>
        <v>Нет</v>
      </c>
      <c r="G132" s="9" t="s">
        <v>21</v>
      </c>
      <c r="H132" s="9"/>
      <c r="I132" s="19"/>
      <c r="J132" s="12"/>
      <c r="K132" s="9">
        <v>82</v>
      </c>
      <c r="L132" s="62" t="str">
        <v>Вне объёма оценки</v>
      </c>
      <c r="M132" s="62" t="str">
        <v>В колонке H нет отметки «Да» для релиза 1.0. Выполнение по архиву в этой оценке не анализировалось.</v>
      </c>
      <c r="N132" s="62" t="str">
        <v>Исходный Excel, «Все требования», H132</v>
      </c>
    </row>
    <row r="133" spans="2:14" ht="45" hidden="1" customHeight="1">
      <c r="B133" s="10" t="s">
        <v>289</v>
      </c>
      <c r="C133" s="10" t="s">
        <v>290</v>
      </c>
      <c r="D133" s="11" t="s">
        <v>256</v>
      </c>
      <c r="E133" s="9" t="str">
        <f>IF(EXACT(IFERROR(VLOOKUP(B133,' Первый релиз (05.08)'!$A$1:$A$96,1,FALSE),"нет"),B133),"Да","Нет")</f>
        <v>Нет</v>
      </c>
      <c r="F133" s="9" t="str">
        <f>IF(EXACT(IFERROR(VLOOKUP(B133,'Первый релиз (04.09)'!$A$1:$A$96,1,FALSE),"нет"),B133),"Да","Нет")</f>
        <v>Нет</v>
      </c>
      <c r="G133" s="9" t="s">
        <v>21</v>
      </c>
      <c r="H133" s="9"/>
      <c r="I133" s="19"/>
      <c r="J133" s="12"/>
      <c r="K133" s="9">
        <v>82</v>
      </c>
      <c r="L133" s="62" t="str">
        <v>Вне объёма оценки</v>
      </c>
      <c r="M133" s="62" t="str">
        <v>В колонке H нет отметки «Да» для релиза 1.0. Выполнение по архиву в этой оценке не анализировалось.</v>
      </c>
      <c r="N133" s="62" t="str">
        <v>Исходный Excel, «Все требования», H133</v>
      </c>
    </row>
    <row r="134" spans="2:14" ht="42" hidden="1" customHeight="1">
      <c r="B134" s="10" t="s">
        <v>291</v>
      </c>
      <c r="C134" s="10" t="s">
        <v>292</v>
      </c>
      <c r="D134" s="11" t="s">
        <v>256</v>
      </c>
      <c r="E134" s="9" t="str">
        <f>IF(EXACT(IFERROR(VLOOKUP(B134,' Первый релиз (05.08)'!$A$1:$A$96,1,FALSE),"нет"),B134),"Да","Нет")</f>
        <v>Нет</v>
      </c>
      <c r="F134" s="9" t="str">
        <f>IF(EXACT(IFERROR(VLOOKUP(B134,'Первый релиз (04.09)'!$A$1:$A$96,1,FALSE),"нет"),B134),"Да","Нет")</f>
        <v>Нет</v>
      </c>
      <c r="G134" s="9" t="s">
        <v>21</v>
      </c>
      <c r="H134" s="9"/>
      <c r="I134" s="19"/>
      <c r="J134" s="12"/>
      <c r="K134" s="9">
        <v>82</v>
      </c>
      <c r="L134" s="62" t="str">
        <v>Вне объёма оценки</v>
      </c>
      <c r="M134" s="62" t="str">
        <v>В колонке H нет отметки «Да» для релиза 1.0. Выполнение по архиву в этой оценке не анализировалось.</v>
      </c>
      <c r="N134" s="62" t="str">
        <v>Исходный Excel, «Все требования», H134</v>
      </c>
    </row>
    <row r="135" spans="2:14" ht="42" hidden="1" customHeight="1">
      <c r="B135" s="10" t="s">
        <v>293</v>
      </c>
      <c r="C135" s="10" t="s">
        <v>294</v>
      </c>
      <c r="D135" s="11" t="s">
        <v>256</v>
      </c>
      <c r="E135" s="9" t="str">
        <f>IF(EXACT(IFERROR(VLOOKUP(B135,' Первый релиз (05.08)'!$A$1:$A$96,1,FALSE),"нет"),B135),"Да","Нет")</f>
        <v>Нет</v>
      </c>
      <c r="F135" s="9" t="str">
        <f>IF(EXACT(IFERROR(VLOOKUP(B135,'Первый релиз (04.09)'!$A$1:$A$96,1,FALSE),"нет"),B135),"Да","Нет")</f>
        <v>Нет</v>
      </c>
      <c r="G135" s="9" t="s">
        <v>21</v>
      </c>
      <c r="H135" s="9"/>
      <c r="I135" s="19"/>
      <c r="J135" s="12"/>
      <c r="K135" s="9">
        <v>82</v>
      </c>
      <c r="L135" s="62" t="str">
        <v>Вне объёма оценки</v>
      </c>
      <c r="M135" s="62" t="str">
        <v>В колонке H нет отметки «Да» для релиза 1.0. Выполнение по архиву в этой оценке не анализировалось.</v>
      </c>
      <c r="N135" s="62" t="str">
        <v>Исходный Excel, «Все требования», H135</v>
      </c>
    </row>
    <row r="136" spans="2:14" ht="42" hidden="1" customHeight="1">
      <c r="B136" s="10" t="s">
        <v>295</v>
      </c>
      <c r="C136" s="10" t="s">
        <v>296</v>
      </c>
      <c r="D136" s="11" t="s">
        <v>256</v>
      </c>
      <c r="E136" s="9" t="str">
        <f>IF(EXACT(IFERROR(VLOOKUP(B136,' Первый релиз (05.08)'!$A$1:$A$96,1,FALSE),"нет"),B136),"Да","Нет")</f>
        <v>Нет</v>
      </c>
      <c r="F136" s="9" t="str">
        <f>IF(EXACT(IFERROR(VLOOKUP(B136,'Первый релиз (04.09)'!$A$1:$A$96,1,FALSE),"нет"),B136),"Да","Нет")</f>
        <v>Нет</v>
      </c>
      <c r="G136" s="9" t="s">
        <v>21</v>
      </c>
      <c r="H136" s="9"/>
      <c r="I136" s="19"/>
      <c r="J136" s="12"/>
      <c r="K136" s="9">
        <v>82</v>
      </c>
      <c r="L136" s="62" t="str">
        <v>Вне объёма оценки</v>
      </c>
      <c r="M136" s="62" t="str">
        <v>В колонке H нет отметки «Да» для релиза 1.0. Выполнение по архиву в этой оценке не анализировалось.</v>
      </c>
      <c r="N136" s="62" t="str">
        <v>Исходный Excel, «Все требования», H136</v>
      </c>
    </row>
    <row r="137" spans="2:14" ht="42" hidden="1" customHeight="1">
      <c r="B137" s="10" t="s">
        <v>297</v>
      </c>
      <c r="C137" s="10" t="s">
        <v>298</v>
      </c>
      <c r="D137" s="11" t="s">
        <v>256</v>
      </c>
      <c r="E137" s="9" t="str">
        <f>IF(EXACT(IFERROR(VLOOKUP(B137,' Первый релиз (05.08)'!$A$1:$A$96,1,FALSE),"нет"),B137),"Да","Нет")</f>
        <v>Да</v>
      </c>
      <c r="F137" s="9" t="str">
        <f>IF(EXACT(IFERROR(VLOOKUP(B137,'Первый релиз (04.09)'!$A$1:$A$96,1,FALSE),"нет"),B137),"Да","Нет")</f>
        <v>Нет</v>
      </c>
      <c r="G137" s="9" t="s">
        <v>21</v>
      </c>
      <c r="H137" s="9"/>
      <c r="I137" s="19"/>
      <c r="J137" s="12"/>
      <c r="K137" s="9">
        <v>82</v>
      </c>
      <c r="L137" s="62" t="str">
        <v>Вне объёма оценки</v>
      </c>
      <c r="M137" s="62" t="str">
        <v>В колонке H нет отметки «Да» для релиза 1.0. Выполнение по архиву в этой оценке не анализировалось.</v>
      </c>
      <c r="N137" s="62" t="str">
        <v>Исходный Excel, «Все требования», H137</v>
      </c>
    </row>
    <row r="138" spans="2:14" ht="42" customHeight="1">
      <c r="B138" s="10" t="s">
        <v>299</v>
      </c>
      <c r="C138" s="10" t="s">
        <v>300</v>
      </c>
      <c r="D138" s="11" t="s">
        <v>256</v>
      </c>
      <c r="E138" s="9" t="str">
        <f>IF(EXACT(IFERROR(VLOOKUP(B138,' Первый релиз (05.08)'!$A$1:$A$96,1,FALSE),"нет"),B138),"Да","Нет")</f>
        <v>Да</v>
      </c>
      <c r="F138" s="9" t="str">
        <f>IF(EXACT(IFERROR(VLOOKUP(B138,'Первый релиз (04.09)'!$A$1:$A$96,1,FALSE),"нет"),B138),"Да","Нет")</f>
        <v>Нет</v>
      </c>
      <c r="G138" s="9" t="s">
        <v>15</v>
      </c>
      <c r="H138" s="24" t="s">
        <v>15</v>
      </c>
      <c r="I138" s="9"/>
      <c r="J138" s="12"/>
      <c r="K138" s="9">
        <v>82</v>
      </c>
      <c r="L138" s="62" t="str">
        <v>Частично</v>
      </c>
      <c r="M138" s="62" t="str">
        <v>Есть централизованное хранилище и ссылки на секреты. Отсутствие ключей/паролей в слоях готовых образов не проверялось.</v>
      </c>
      <c r="N138" s="62" t="str">
        <v>kolla_ansible/secret_backends.py:26–57
ansible/group_vars/all.yml:1807–1813</v>
      </c>
    </row>
    <row r="139" spans="2:14" ht="45" hidden="1" customHeight="1">
      <c r="B139" s="10" t="s">
        <v>301</v>
      </c>
      <c r="C139" s="10" t="s">
        <v>302</v>
      </c>
      <c r="D139" s="11" t="s">
        <v>256</v>
      </c>
      <c r="E139" s="9" t="str">
        <f>IF(EXACT(IFERROR(VLOOKUP(B139,' Первый релиз (05.08)'!$A$1:$A$96,1,FALSE),"нет"),B139),"Да","Нет")</f>
        <v>Нет</v>
      </c>
      <c r="F139" s="9" t="str">
        <f>IF(EXACT(IFERROR(VLOOKUP(B139,'Первый релиз (04.09)'!$A$1:$A$96,1,FALSE),"нет"),B139),"Да","Нет")</f>
        <v>Нет</v>
      </c>
      <c r="G139" s="9" t="s">
        <v>21</v>
      </c>
      <c r="H139" s="9"/>
      <c r="I139" s="19"/>
      <c r="J139" s="12"/>
      <c r="K139" s="9">
        <v>82</v>
      </c>
      <c r="L139" s="62" t="str">
        <v>Вне объёма оценки</v>
      </c>
      <c r="M139" s="62" t="str">
        <v>В колонке H нет отметки «Да» для релиза 1.0. Выполнение по архиву в этой оценке не анализировалось.</v>
      </c>
      <c r="N139" s="62" t="str">
        <v>Исходный Excel, «Все требования», H139</v>
      </c>
    </row>
    <row r="140" spans="2:14" ht="42" hidden="1" customHeight="1">
      <c r="B140" s="10" t="s">
        <v>303</v>
      </c>
      <c r="C140" s="10" t="s">
        <v>304</v>
      </c>
      <c r="D140" s="11" t="s">
        <v>256</v>
      </c>
      <c r="E140" s="9" t="str">
        <f>IF(EXACT(IFERROR(VLOOKUP(B140,' Первый релиз (05.08)'!$A$1:$A$96,1,FALSE),"нет"),B140),"Да","Нет")</f>
        <v>Нет</v>
      </c>
      <c r="F140" s="9" t="str">
        <f>IF(EXACT(IFERROR(VLOOKUP(B140,'Первый релиз (04.09)'!$A$1:$A$96,1,FALSE),"нет"),B140),"Да","Нет")</f>
        <v>Нет</v>
      </c>
      <c r="G140" s="9" t="s">
        <v>21</v>
      </c>
      <c r="H140" s="9"/>
      <c r="I140" s="19"/>
      <c r="J140" s="12"/>
      <c r="K140" s="9" t="s">
        <v>26</v>
      </c>
      <c r="L140" s="62" t="str">
        <v>Вне объёма оценки</v>
      </c>
      <c r="M140" s="62" t="str">
        <v>В колонке H нет отметки «Да» для релиза 1.0. Выполнение по архиву в этой оценке не анализировалось.</v>
      </c>
      <c r="N140" s="62" t="str">
        <v>Исходный Excel, «Все требования», H140</v>
      </c>
    </row>
    <row r="141" spans="2:14" ht="42" customHeight="1">
      <c r="B141" s="10" t="s">
        <v>305</v>
      </c>
      <c r="C141" s="10" t="s">
        <v>306</v>
      </c>
      <c r="D141" s="11" t="s">
        <v>256</v>
      </c>
      <c r="E141" s="9" t="str">
        <f>IF(EXACT(IFERROR(VLOOKUP(B141,' Первый релиз (05.08)'!$A$1:$A$96,1,FALSE),"нет"),B141),"Да","Нет")</f>
        <v>Да</v>
      </c>
      <c r="F141" s="9" t="str">
        <f>IF(EXACT(IFERROR(VLOOKUP(B141,'Первый релиз (04.09)'!$A$1:$A$96,1,FALSE),"нет"),B141),"Да","Нет")</f>
        <v>Нет</v>
      </c>
      <c r="G141" s="9" t="s">
        <v>15</v>
      </c>
      <c r="H141" s="24" t="s">
        <v>15</v>
      </c>
      <c r="I141" s="9"/>
      <c r="J141" s="12"/>
      <c r="K141" s="9" t="s">
        <v>26</v>
      </c>
      <c r="L141" s="62" t="str">
        <v>Не подтверждено</v>
      </c>
      <c r="M141" s="62" t="str">
        <v>Workers используют сеть host. Host firewall не доказывает изоляцию компонентов на одном узле; отдельный контур LCMP также не оценён.</v>
      </c>
      <c r="N141" s="62" t="str">
        <v>ansible/module_utils/kolla_docker_worker.py:293
ansible/module_utils/kolla_podman_worker.py:202</v>
      </c>
    </row>
    <row r="142" spans="2:14" ht="42" hidden="1" customHeight="1">
      <c r="B142" s="10" t="s">
        <v>307</v>
      </c>
      <c r="C142" s="10" t="s">
        <v>308</v>
      </c>
      <c r="D142" s="11" t="s">
        <v>256</v>
      </c>
      <c r="E142" s="9" t="str">
        <f>IF(EXACT(IFERROR(VLOOKUP(B142,' Первый релиз (05.08)'!$A$1:$A$96,1,FALSE),"нет"),B142),"Да","Нет")</f>
        <v>Нет</v>
      </c>
      <c r="F142" s="9" t="str">
        <f>IF(EXACT(IFERROR(VLOOKUP(B142,'Первый релиз (04.09)'!$A$1:$A$96,1,FALSE),"нет"),B142),"Да","Нет")</f>
        <v>Нет</v>
      </c>
      <c r="G142" s="9" t="s">
        <v>21</v>
      </c>
      <c r="H142" s="9"/>
      <c r="I142" s="19"/>
      <c r="J142" s="12"/>
      <c r="K142" s="9">
        <v>82</v>
      </c>
      <c r="L142" s="62" t="str">
        <v>Вне объёма оценки</v>
      </c>
      <c r="M142" s="62" t="str">
        <v>В колонке H нет отметки «Да» для релиза 1.0. Выполнение по архиву в этой оценке не анализировалось.</v>
      </c>
      <c r="N142" s="62" t="str">
        <v>Исходный Excel, «Все требования», H142</v>
      </c>
    </row>
    <row r="143" spans="2:14" ht="75" customHeight="1">
      <c r="B143" s="10" t="s">
        <v>309</v>
      </c>
      <c r="C143" s="10" t="s">
        <v>310</v>
      </c>
      <c r="D143" s="11" t="s">
        <v>256</v>
      </c>
      <c r="E143" s="9" t="str">
        <f>IF(EXACT(IFERROR(VLOOKUP(B143,' Первый релиз (05.08)'!$A$1:$A$96,1,FALSE),"нет"),B143),"Да","Нет")</f>
        <v>Да</v>
      </c>
      <c r="F143" s="9" t="str">
        <f>IF(EXACT(IFERROR(VLOOKUP(B143,'Первый релиз (04.09)'!$A$1:$A$96,1,FALSE),"нет"),B143),"Да","Нет")</f>
        <v>Нет</v>
      </c>
      <c r="G143" s="9" t="s">
        <v>15</v>
      </c>
      <c r="H143" s="24" t="s">
        <v>15</v>
      </c>
      <c r="I143" s="9"/>
      <c r="J143" s="12"/>
      <c r="K143" s="9">
        <v>82</v>
      </c>
      <c r="L143" s="62" t="str">
        <v>Разрыв</v>
      </c>
      <c r="M143" s="62" t="str">
        <v>post-deploy пишет открытые пароли в audit-*.netrc/flog-ingest.netrc даже при Vault. 0600 не устраняет секрет. Остальные запреты составного пункта требуют проверки.</v>
      </c>
      <c r="N143" s="62" t="str">
        <v>ansible/post-deploy.yml:130–153
ansible/roles/common/templates/security-audit-secrets.env.j2</v>
      </c>
    </row>
    <row r="144" spans="2:14" ht="42" hidden="1" customHeight="1">
      <c r="B144" s="10" t="s">
        <v>311</v>
      </c>
      <c r="C144" s="10" t="s">
        <v>312</v>
      </c>
      <c r="D144" s="11" t="s">
        <v>256</v>
      </c>
      <c r="E144" s="9" t="str">
        <f>IF(EXACT(IFERROR(VLOOKUP(B144,' Первый релиз (05.08)'!$A$1:$A$96,1,FALSE),"нет"),B144),"Да","Нет")</f>
        <v>Нет</v>
      </c>
      <c r="F144" s="9" t="str">
        <f>IF(EXACT(IFERROR(VLOOKUP(B144,'Первый релиз (04.09)'!$A$1:$A$96,1,FALSE),"нет"),B144),"Да","Нет")</f>
        <v>Нет</v>
      </c>
      <c r="G144" s="9" t="s">
        <v>21</v>
      </c>
      <c r="H144" s="9"/>
      <c r="I144" s="19"/>
      <c r="J144" s="12"/>
      <c r="K144" s="9">
        <v>82</v>
      </c>
      <c r="L144" s="62" t="str">
        <v>Вне объёма оценки</v>
      </c>
      <c r="M144" s="62" t="str">
        <v>В колонке H нет отметки «Да» для релиза 1.0. Выполнение по архиву в этой оценке не анализировалось.</v>
      </c>
      <c r="N144" s="62" t="str">
        <v>Исходный Excel, «Все требования», H144</v>
      </c>
    </row>
    <row r="145" spans="2:14" ht="32" hidden="1">
      <c r="B145" s="6" t="s">
        <v>313</v>
      </c>
      <c r="C145" s="30" t="s">
        <v>314</v>
      </c>
      <c r="D145" s="30"/>
      <c r="E145" s="8"/>
      <c r="F145" s="8"/>
      <c r="G145" s="9"/>
      <c r="I145" s="19"/>
      <c r="L145" s="62"/>
      <c r="M145" s="62"/>
      <c r="N145" s="62"/>
    </row>
    <row r="146" spans="2:14" ht="58" customHeight="1">
      <c r="B146" s="10" t="s">
        <v>315</v>
      </c>
      <c r="C146" s="10" t="s">
        <v>316</v>
      </c>
      <c r="D146" s="11" t="s">
        <v>256</v>
      </c>
      <c r="E146" s="9" t="str">
        <f>IF(EXACT(IFERROR(VLOOKUP(B146,' Первый релиз (05.08)'!$A$1:$A$96,1,FALSE),"нет"),B146),"Да","Нет")</f>
        <v>Да</v>
      </c>
      <c r="F146" s="9" t="str">
        <f>IF(EXACT(IFERROR(VLOOKUP(B146,'Первый релиз (04.09)'!$A$1:$A$96,1,FALSE),"нет"),B146),"Да","Нет")</f>
        <v>Да</v>
      </c>
      <c r="G146" s="9" t="s">
        <v>15</v>
      </c>
      <c r="H146" s="24" t="s">
        <v>15</v>
      </c>
      <c r="I146" s="9"/>
      <c r="J146" s="12"/>
      <c r="K146" s="9">
        <v>64</v>
      </c>
      <c r="L146" s="62" t="str">
        <v>Частично</v>
      </c>
      <c r="M146" s="62" t="str">
        <v>Есть автоматическое обновление AppRole SecretID и recovery wrapper. Ротация всех прикладных паролей/сертификатов у потребителей не подтверждена.</v>
      </c>
      <c r="N146" s="62" t="str">
        <v>ansible/roles/vault-agent/templates/kolla-vault-agent.py.j2:330–415</v>
      </c>
    </row>
    <row r="147" spans="2:14" ht="42" hidden="1" customHeight="1">
      <c r="B147" s="10" t="s">
        <v>317</v>
      </c>
      <c r="C147" s="10" t="s">
        <v>318</v>
      </c>
      <c r="D147" s="11" t="s">
        <v>256</v>
      </c>
      <c r="E147" s="9" t="str">
        <f>IF(EXACT(IFERROR(VLOOKUP(B147,' Первый релиз (05.08)'!$A$1:$A$96,1,FALSE),"нет"),B147),"Да","Нет")</f>
        <v>Да</v>
      </c>
      <c r="F147" s="9" t="str">
        <f>IF(EXACT(IFERROR(VLOOKUP(B147,'Первый релиз (04.09)'!$A$1:$A$96,1,FALSE),"нет"),B147),"Да","Нет")</f>
        <v>Нет</v>
      </c>
      <c r="G147" s="9" t="s">
        <v>62</v>
      </c>
      <c r="H147" s="9"/>
      <c r="I147" s="19"/>
      <c r="J147" s="31" t="s">
        <v>160</v>
      </c>
      <c r="K147" s="9">
        <v>150</v>
      </c>
      <c r="L147" s="62" t="str">
        <v>Вне объёма оценки</v>
      </c>
      <c r="M147" s="62" t="str">
        <v>В колонке H нет отметки «Да» для релиза 1.0. Выполнение по архиву в этой оценке не анализировалось.</v>
      </c>
      <c r="N147" s="62" t="str">
        <v>Исходный Excel, «Все требования», H147</v>
      </c>
    </row>
    <row r="148" spans="2:14" ht="45" hidden="1" customHeight="1">
      <c r="B148" s="10" t="s">
        <v>319</v>
      </c>
      <c r="C148" s="10" t="s">
        <v>320</v>
      </c>
      <c r="D148" s="11" t="s">
        <v>256</v>
      </c>
      <c r="E148" s="9" t="str">
        <f>IF(EXACT(IFERROR(VLOOKUP(B148,' Первый релиз (05.08)'!$A$1:$A$96,1,FALSE),"нет"),B148),"Да","Нет")</f>
        <v>Да</v>
      </c>
      <c r="F148" s="9" t="str">
        <f>IF(EXACT(IFERROR(VLOOKUP(B148,'Первый релиз (04.09)'!$A$1:$A$96,1,FALSE),"нет"),B148),"Да","Нет")</f>
        <v>Нет</v>
      </c>
      <c r="G148" s="9" t="s">
        <v>62</v>
      </c>
      <c r="H148" s="9"/>
      <c r="I148" s="19"/>
      <c r="J148" s="31" t="s">
        <v>160</v>
      </c>
      <c r="K148" s="9">
        <v>151</v>
      </c>
      <c r="L148" s="62" t="str">
        <v>Вне объёма оценки</v>
      </c>
      <c r="M148" s="62" t="str">
        <v>В колонке H нет отметки «Да» для релиза 1.0. Выполнение по архиву в этой оценке не анализировалось.</v>
      </c>
      <c r="N148" s="62" t="str">
        <v>Исходный Excel, «Все требования», H148</v>
      </c>
    </row>
    <row r="149" spans="2:14" ht="48" hidden="1">
      <c r="B149" s="6" t="s">
        <v>321</v>
      </c>
      <c r="C149" s="7"/>
      <c r="D149" s="7"/>
      <c r="E149" s="8"/>
      <c r="F149" s="8"/>
      <c r="G149" s="9"/>
      <c r="I149" s="19"/>
      <c r="L149" s="62"/>
      <c r="M149" s="62"/>
      <c r="N149" s="62"/>
    </row>
    <row r="150" spans="2:14" ht="42" hidden="1" customHeight="1">
      <c r="B150" s="10" t="s">
        <v>322</v>
      </c>
      <c r="C150" s="10" t="s">
        <v>323</v>
      </c>
      <c r="D150" s="11" t="s">
        <v>256</v>
      </c>
      <c r="E150" s="9" t="str">
        <f>IF(EXACT(IFERROR(VLOOKUP(B150,' Первый релиз (05.08)'!$A$1:$A$96,1,FALSE),"нет"),B150),"Да","Нет")</f>
        <v>Да</v>
      </c>
      <c r="F150" s="9" t="str">
        <f>IF(EXACT(IFERROR(VLOOKUP(B150,'Первый релиз (04.09)'!$A$1:$A$96,1,FALSE),"нет"),B150),"Да","Нет")</f>
        <v>Нет</v>
      </c>
      <c r="G150" s="9" t="s">
        <v>21</v>
      </c>
      <c r="H150" s="9"/>
      <c r="I150" s="19"/>
      <c r="J150" s="12"/>
      <c r="K150" s="9">
        <v>83</v>
      </c>
      <c r="L150" s="62" t="str">
        <v>Вне объёма оценки</v>
      </c>
      <c r="M150" s="62" t="str">
        <v>В колонке H нет отметки «Да» для релиза 1.0. Выполнение по архиву в этой оценке не анализировалось.</v>
      </c>
      <c r="N150" s="62" t="str">
        <v>Исходный Excel, «Все требования», H150</v>
      </c>
    </row>
    <row r="151" spans="2:14" ht="144" hidden="1">
      <c r="B151" s="6" t="s">
        <v>324</v>
      </c>
      <c r="C151" s="7"/>
      <c r="D151" s="7"/>
      <c r="E151" s="8"/>
      <c r="F151" s="8"/>
      <c r="G151" s="9"/>
      <c r="I151" s="19"/>
      <c r="L151" s="62"/>
      <c r="M151" s="62"/>
      <c r="N151" s="62"/>
    </row>
    <row r="152" spans="2:14" ht="105" hidden="1" customHeight="1">
      <c r="B152" s="10" t="s">
        <v>325</v>
      </c>
      <c r="C152" s="10" t="s">
        <v>326</v>
      </c>
      <c r="D152" s="11" t="s">
        <v>256</v>
      </c>
      <c r="E152" s="9" t="str">
        <f>IF(EXACT(IFERROR(VLOOKUP(B152,' Первый релиз (05.08)'!$A$1:$A$96,1,FALSE),"нет"),B152),"Да","Нет")</f>
        <v>Нет</v>
      </c>
      <c r="F152" s="9" t="str">
        <f>IF(EXACT(IFERROR(VLOOKUP(B152,'Первый релиз (04.09)'!$A$1:$A$96,1,FALSE),"нет"),B152),"Да","Нет")</f>
        <v>Нет</v>
      </c>
      <c r="G152" s="9" t="s">
        <v>21</v>
      </c>
      <c r="H152" s="9"/>
      <c r="I152" s="19"/>
      <c r="J152" s="12"/>
      <c r="K152" s="9">
        <v>94</v>
      </c>
      <c r="L152" s="62" t="str">
        <v>Вне объёма оценки</v>
      </c>
      <c r="M152" s="62" t="str">
        <v>В колонке H нет отметки «Да» для релиза 1.0. Выполнение по архиву в этой оценке не анализировалось.</v>
      </c>
      <c r="N152" s="62" t="str">
        <v>Исходный Excel, «Все требования», H152</v>
      </c>
    </row>
    <row r="153" spans="2:14" ht="42" hidden="1" customHeight="1">
      <c r="B153" s="10" t="s">
        <v>327</v>
      </c>
      <c r="C153" s="10" t="s">
        <v>328</v>
      </c>
      <c r="D153" s="11" t="s">
        <v>256</v>
      </c>
      <c r="E153" s="9" t="str">
        <f>IF(EXACT(IFERROR(VLOOKUP(B153,' Первый релиз (05.08)'!$A$1:$A$96,1,FALSE),"нет"),B153),"Да","Нет")</f>
        <v>Нет</v>
      </c>
      <c r="F153" s="9" t="str">
        <f>IF(EXACT(IFERROR(VLOOKUP(B153,'Первый релиз (04.09)'!$A$1:$A$96,1,FALSE),"нет"),B153),"Да","Нет")</f>
        <v>Нет</v>
      </c>
      <c r="G153" s="9" t="s">
        <v>21</v>
      </c>
      <c r="H153" s="9"/>
      <c r="I153" s="19"/>
      <c r="J153" s="12"/>
      <c r="K153" s="9">
        <v>95</v>
      </c>
      <c r="L153" s="62" t="str">
        <v>Вне объёма оценки</v>
      </c>
      <c r="M153" s="62" t="str">
        <v>В колонке H нет отметки «Да» для релиза 1.0. Выполнение по архиву в этой оценке не анализировалось.</v>
      </c>
      <c r="N153" s="62" t="str">
        <v>Исходный Excel, «Все требования», H153</v>
      </c>
    </row>
    <row r="154" spans="2:14" ht="42" hidden="1" customHeight="1">
      <c r="B154" s="10" t="s">
        <v>329</v>
      </c>
      <c r="C154" s="10" t="s">
        <v>330</v>
      </c>
      <c r="D154" s="11" t="s">
        <v>256</v>
      </c>
      <c r="E154" s="9" t="str">
        <f>IF(EXACT(IFERROR(VLOOKUP(B154,' Первый релиз (05.08)'!$A$1:$A$96,1,FALSE),"нет"),B154),"Да","Нет")</f>
        <v>Нет</v>
      </c>
      <c r="F154" s="9" t="str">
        <f>IF(EXACT(IFERROR(VLOOKUP(B154,'Первый релиз (04.09)'!$A$1:$A$96,1,FALSE),"нет"),B154),"Да","Нет")</f>
        <v>Нет</v>
      </c>
      <c r="G154" s="9" t="s">
        <v>21</v>
      </c>
      <c r="H154" s="9"/>
      <c r="I154" s="19"/>
      <c r="J154" s="12"/>
      <c r="K154" s="9">
        <v>96</v>
      </c>
      <c r="L154" s="62" t="str">
        <v>Вне объёма оценки</v>
      </c>
      <c r="M154" s="62" t="str">
        <v>В колонке H нет отметки «Да» для релиза 1.0. Выполнение по архиву в этой оценке не анализировалось.</v>
      </c>
      <c r="N154" s="62" t="str">
        <v>Исходный Excel, «Все требования», H154</v>
      </c>
    </row>
    <row r="155" spans="2:14" ht="45" hidden="1" customHeight="1">
      <c r="B155" s="10" t="s">
        <v>331</v>
      </c>
      <c r="C155" s="10" t="s">
        <v>332</v>
      </c>
      <c r="D155" s="11" t="s">
        <v>256</v>
      </c>
      <c r="E155" s="9" t="str">
        <f>IF(EXACT(IFERROR(VLOOKUP(B155,' Первый релиз (05.08)'!$A$1:$A$96,1,FALSE),"нет"),B155),"Да","Нет")</f>
        <v>Нет</v>
      </c>
      <c r="F155" s="9" t="str">
        <f>IF(EXACT(IFERROR(VLOOKUP(B155,'Первый релиз (04.09)'!$A$1:$A$96,1,FALSE),"нет"),B155),"Да","Нет")</f>
        <v>Нет</v>
      </c>
      <c r="G155" s="9" t="s">
        <v>21</v>
      </c>
      <c r="H155" s="9"/>
      <c r="I155" s="19"/>
      <c r="J155" s="12"/>
      <c r="K155" s="9">
        <v>97</v>
      </c>
      <c r="L155" s="62" t="str">
        <v>Вне объёма оценки</v>
      </c>
      <c r="M155" s="62" t="str">
        <v>В колонке H нет отметки «Да» для релиза 1.0. Выполнение по архиву в этой оценке не анализировалось.</v>
      </c>
      <c r="N155" s="62" t="str">
        <v>Исходный Excel, «Все требования», H155</v>
      </c>
    </row>
    <row r="156" spans="2:14" ht="45" hidden="1" customHeight="1">
      <c r="B156" s="10" t="s">
        <v>333</v>
      </c>
      <c r="C156" s="10" t="s">
        <v>334</v>
      </c>
      <c r="D156" s="11" t="s">
        <v>256</v>
      </c>
      <c r="E156" s="9" t="str">
        <f>IF(EXACT(IFERROR(VLOOKUP(B156,' Первый релиз (05.08)'!$A$1:$A$96,1,FALSE),"нет"),B156),"Да","Нет")</f>
        <v>Нет</v>
      </c>
      <c r="F156" s="9" t="str">
        <f>IF(EXACT(IFERROR(VLOOKUP(B156,'Первый релиз (04.09)'!$A$1:$A$96,1,FALSE),"нет"),B156),"Да","Нет")</f>
        <v>Нет</v>
      </c>
      <c r="G156" s="9" t="s">
        <v>21</v>
      </c>
      <c r="H156" s="9"/>
      <c r="I156" s="19"/>
      <c r="J156" s="12"/>
      <c r="K156" s="9">
        <v>98</v>
      </c>
      <c r="L156" s="62" t="str">
        <v>Вне объёма оценки</v>
      </c>
      <c r="M156" s="62" t="str">
        <v>В колонке H нет отметки «Да» для релиза 1.0. Выполнение по архиву в этой оценке не анализировалось.</v>
      </c>
      <c r="N156" s="62" t="str">
        <v>Исходный Excel, «Все требования», H156</v>
      </c>
    </row>
    <row r="157" spans="2:14" ht="60" hidden="1" customHeight="1">
      <c r="B157" s="10" t="s">
        <v>335</v>
      </c>
      <c r="C157" s="10" t="s">
        <v>336</v>
      </c>
      <c r="D157" s="11" t="s">
        <v>256</v>
      </c>
      <c r="E157" s="9" t="str">
        <f>IF(EXACT(IFERROR(VLOOKUP(B157,' Первый релиз (05.08)'!$A$1:$A$96,1,FALSE),"нет"),B157),"Да","Нет")</f>
        <v>Нет</v>
      </c>
      <c r="F157" s="9" t="str">
        <f>IF(EXACT(IFERROR(VLOOKUP(B157,'Первый релиз (04.09)'!$A$1:$A$96,1,FALSE),"нет"),B157),"Да","Нет")</f>
        <v>Нет</v>
      </c>
      <c r="G157" s="9" t="s">
        <v>21</v>
      </c>
      <c r="H157" s="9"/>
      <c r="I157" s="19"/>
      <c r="J157" s="12"/>
      <c r="K157" s="9">
        <v>99</v>
      </c>
      <c r="L157" s="62" t="str">
        <v>Вне объёма оценки</v>
      </c>
      <c r="M157" s="62" t="str">
        <v>В колонке H нет отметки «Да» для релиза 1.0. Выполнение по архиву в этой оценке не анализировалось.</v>
      </c>
      <c r="N157" s="62" t="str">
        <v>Исходный Excel, «Все требования», H157</v>
      </c>
    </row>
    <row r="158" spans="2:14" ht="42" hidden="1" customHeight="1">
      <c r="B158" s="10" t="s">
        <v>337</v>
      </c>
      <c r="C158" s="10" t="s">
        <v>338</v>
      </c>
      <c r="D158" s="11" t="s">
        <v>256</v>
      </c>
      <c r="E158" s="9" t="str">
        <f>IF(EXACT(IFERROR(VLOOKUP(B158,' Первый релиз (05.08)'!$A$1:$A$96,1,FALSE),"нет"),B158),"Да","Нет")</f>
        <v>Нет</v>
      </c>
      <c r="F158" s="9" t="str">
        <f>IF(EXACT(IFERROR(VLOOKUP(B158,'Первый релиз (04.09)'!$A$1:$A$96,1,FALSE),"нет"),B158),"Да","Нет")</f>
        <v>Нет</v>
      </c>
      <c r="G158" s="9" t="s">
        <v>21</v>
      </c>
      <c r="H158" s="9"/>
      <c r="I158" s="19"/>
      <c r="J158" s="12"/>
      <c r="K158" s="9">
        <v>100</v>
      </c>
      <c r="L158" s="62" t="str">
        <v>Вне объёма оценки</v>
      </c>
      <c r="M158" s="62" t="str">
        <v>В колонке H нет отметки «Да» для релиза 1.0. Выполнение по архиву в этой оценке не анализировалось.</v>
      </c>
      <c r="N158" s="62" t="str">
        <v>Исходный Excel, «Все требования», H158</v>
      </c>
    </row>
    <row r="159" spans="2:14" ht="42" hidden="1" customHeight="1">
      <c r="B159" s="10" t="s">
        <v>339</v>
      </c>
      <c r="C159" s="10" t="s">
        <v>340</v>
      </c>
      <c r="D159" s="11" t="s">
        <v>256</v>
      </c>
      <c r="E159" s="9" t="str">
        <f>IF(EXACT(IFERROR(VLOOKUP(B159,' Первый релиз (05.08)'!$A$1:$A$96,1,FALSE),"нет"),B159),"Да","Нет")</f>
        <v>Нет</v>
      </c>
      <c r="F159" s="9" t="str">
        <f>IF(EXACT(IFERROR(VLOOKUP(B159,'Первый релиз (04.09)'!$A$1:$A$96,1,FALSE),"нет"),B159),"Да","Нет")</f>
        <v>Нет</v>
      </c>
      <c r="G159" s="9" t="s">
        <v>21</v>
      </c>
      <c r="H159" s="9"/>
      <c r="I159" s="19"/>
      <c r="J159" s="12"/>
      <c r="K159" s="9">
        <v>101</v>
      </c>
      <c r="L159" s="62" t="str">
        <v>Вне объёма оценки</v>
      </c>
      <c r="M159" s="62" t="str">
        <v>В колонке H нет отметки «Да» для релиза 1.0. Выполнение по архиву в этой оценке не анализировалось.</v>
      </c>
      <c r="N159" s="62" t="str">
        <v>Исходный Excel, «Все требования», H159</v>
      </c>
    </row>
    <row r="160" spans="2:14" ht="42" hidden="1" customHeight="1">
      <c r="B160" s="10" t="s">
        <v>341</v>
      </c>
      <c r="C160" s="10" t="s">
        <v>342</v>
      </c>
      <c r="D160" s="11" t="s">
        <v>256</v>
      </c>
      <c r="E160" s="9" t="str">
        <f>IF(EXACT(IFERROR(VLOOKUP(B160,' Первый релиз (05.08)'!$A$1:$A$96,1,FALSE),"нет"),B160),"Да","Нет")</f>
        <v>Нет</v>
      </c>
      <c r="F160" s="9" t="str">
        <f>IF(EXACT(IFERROR(VLOOKUP(B160,'Первый релиз (04.09)'!$A$1:$A$96,1,FALSE),"нет"),B160),"Да","Нет")</f>
        <v>Нет</v>
      </c>
      <c r="G160" s="9" t="s">
        <v>21</v>
      </c>
      <c r="H160" s="9"/>
      <c r="I160" s="19"/>
      <c r="J160" s="12"/>
      <c r="K160" s="9">
        <v>102</v>
      </c>
      <c r="L160" s="62" t="str">
        <v>Вне объёма оценки</v>
      </c>
      <c r="M160" s="62" t="str">
        <v>В колонке H нет отметки «Да» для релиза 1.0. Выполнение по архиву в этой оценке не анализировалось.</v>
      </c>
      <c r="N160" s="62" t="str">
        <v>Исходный Excel, «Все требования», H160</v>
      </c>
    </row>
    <row r="161" spans="2:14" ht="60" hidden="1" customHeight="1">
      <c r="B161" s="10" t="s">
        <v>343</v>
      </c>
      <c r="C161" s="10" t="s">
        <v>344</v>
      </c>
      <c r="D161" s="11" t="s">
        <v>256</v>
      </c>
      <c r="E161" s="9" t="str">
        <f>IF(EXACT(IFERROR(VLOOKUP(B161,' Первый релиз (05.08)'!$A$1:$A$96,1,FALSE),"нет"),B161),"Да","Нет")</f>
        <v>Нет</v>
      </c>
      <c r="F161" s="9" t="str">
        <f>IF(EXACT(IFERROR(VLOOKUP(B161,'Первый релиз (04.09)'!$A$1:$A$96,1,FALSE),"нет"),B161),"Да","Нет")</f>
        <v>Нет</v>
      </c>
      <c r="G161" s="9" t="s">
        <v>21</v>
      </c>
      <c r="H161" s="9"/>
      <c r="I161" s="19"/>
      <c r="J161" s="12"/>
      <c r="K161" s="9">
        <v>103</v>
      </c>
      <c r="L161" s="62" t="str">
        <v>Вне объёма оценки</v>
      </c>
      <c r="M161" s="62" t="str">
        <v>В колонке H нет отметки «Да» для релиза 1.0. Выполнение по архиву в этой оценке не анализировалось.</v>
      </c>
      <c r="N161" s="62" t="str">
        <v>Исходный Excel, «Все требования», H161</v>
      </c>
    </row>
    <row r="162" spans="2:14" ht="42" hidden="1" customHeight="1">
      <c r="B162" s="10" t="s">
        <v>345</v>
      </c>
      <c r="C162" s="10" t="s">
        <v>346</v>
      </c>
      <c r="D162" s="11" t="s">
        <v>256</v>
      </c>
      <c r="E162" s="9" t="str">
        <f>IF(EXACT(IFERROR(VLOOKUP(B162,' Первый релиз (05.08)'!$A$1:$A$96,1,FALSE),"нет"),B162),"Да","Нет")</f>
        <v>Нет</v>
      </c>
      <c r="F162" s="9" t="str">
        <f>IF(EXACT(IFERROR(VLOOKUP(B162,'Первый релиз (04.09)'!$A$1:$A$96,1,FALSE),"нет"),B162),"Да","Нет")</f>
        <v>Нет</v>
      </c>
      <c r="G162" s="9" t="s">
        <v>21</v>
      </c>
      <c r="H162" s="9"/>
      <c r="I162" s="19"/>
      <c r="J162" s="12"/>
      <c r="K162" s="9">
        <v>104</v>
      </c>
      <c r="L162" s="62" t="str">
        <v>Вне объёма оценки</v>
      </c>
      <c r="M162" s="62" t="str">
        <v>В колонке H нет отметки «Да» для релиза 1.0. Выполнение по архиву в этой оценке не анализировалось.</v>
      </c>
      <c r="N162" s="62" t="str">
        <v>Исходный Excel, «Все требования», H162</v>
      </c>
    </row>
    <row r="163" spans="2:14" ht="105" hidden="1" customHeight="1">
      <c r="B163" s="10" t="s">
        <v>347</v>
      </c>
      <c r="C163" s="10" t="s">
        <v>348</v>
      </c>
      <c r="D163" s="11" t="s">
        <v>256</v>
      </c>
      <c r="E163" s="9" t="str">
        <f>IF(EXACT(IFERROR(VLOOKUP(B163,' Первый релиз (05.08)'!$A$1:$A$96,1,FALSE),"нет"),B163),"Да","Нет")</f>
        <v>Нет</v>
      </c>
      <c r="F163" s="9" t="str">
        <f>IF(EXACT(IFERROR(VLOOKUP(B163,'Первый релиз (04.09)'!$A$1:$A$96,1,FALSE),"нет"),B163),"Да","Нет")</f>
        <v>Нет</v>
      </c>
      <c r="G163" s="9" t="s">
        <v>21</v>
      </c>
      <c r="H163" s="9"/>
      <c r="I163" s="19"/>
      <c r="J163" s="12"/>
      <c r="K163" s="9">
        <v>105</v>
      </c>
      <c r="L163" s="62" t="str">
        <v>Вне объёма оценки</v>
      </c>
      <c r="M163" s="62" t="str">
        <v>В колонке H нет отметки «Да» для релиза 1.0. Выполнение по архиву в этой оценке не анализировалось.</v>
      </c>
      <c r="N163" s="62" t="str">
        <v>Исходный Excel, «Все требования», H163</v>
      </c>
    </row>
    <row r="164" spans="2:14" ht="45" hidden="1" customHeight="1">
      <c r="B164" s="10" t="s">
        <v>349</v>
      </c>
      <c r="C164" s="10" t="s">
        <v>350</v>
      </c>
      <c r="D164" s="11" t="s">
        <v>256</v>
      </c>
      <c r="E164" s="9" t="str">
        <f>IF(EXACT(IFERROR(VLOOKUP(B164,' Первый релиз (05.08)'!$A$1:$A$96,1,FALSE),"нет"),B164),"Да","Нет")</f>
        <v>Нет</v>
      </c>
      <c r="F164" s="9" t="str">
        <f>IF(EXACT(IFERROR(VLOOKUP(B164,'Первый релиз (04.09)'!$A$1:$A$96,1,FALSE),"нет"),B164),"Да","Нет")</f>
        <v>Нет</v>
      </c>
      <c r="G164" s="9" t="s">
        <v>21</v>
      </c>
      <c r="H164" s="9"/>
      <c r="I164" s="19"/>
      <c r="J164" s="12"/>
      <c r="K164" s="9">
        <v>106</v>
      </c>
      <c r="L164" s="62" t="str">
        <v>Вне объёма оценки</v>
      </c>
      <c r="M164" s="62" t="str">
        <v>В колонке H нет отметки «Да» для релиза 1.0. Выполнение по архиву в этой оценке не анализировалось.</v>
      </c>
      <c r="N164" s="62" t="str">
        <v>Исходный Excel, «Все требования», H164</v>
      </c>
    </row>
    <row r="165" spans="2:14" ht="45" hidden="1" customHeight="1">
      <c r="B165" s="10" t="s">
        <v>351</v>
      </c>
      <c r="C165" s="10" t="s">
        <v>352</v>
      </c>
      <c r="D165" s="11" t="s">
        <v>256</v>
      </c>
      <c r="E165" s="9" t="str">
        <f>IF(EXACT(IFERROR(VLOOKUP(B165,' Первый релиз (05.08)'!$A$1:$A$96,1,FALSE),"нет"),B165),"Да","Нет")</f>
        <v>Нет</v>
      </c>
      <c r="F165" s="9" t="str">
        <f>IF(EXACT(IFERROR(VLOOKUP(B165,'Первый релиз (04.09)'!$A$1:$A$96,1,FALSE),"нет"),B165),"Да","Нет")</f>
        <v>Нет</v>
      </c>
      <c r="G165" s="9" t="s">
        <v>21</v>
      </c>
      <c r="H165" s="9"/>
      <c r="I165" s="19"/>
      <c r="J165" s="12"/>
      <c r="K165" s="9">
        <v>107</v>
      </c>
      <c r="L165" s="62" t="str">
        <v>Вне объёма оценки</v>
      </c>
      <c r="M165" s="62" t="str">
        <v>В колонке H нет отметки «Да» для релиза 1.0. Выполнение по архиву в этой оценке не анализировалось.</v>
      </c>
      <c r="N165" s="62" t="str">
        <v>Исходный Excel, «Все требования», H165</v>
      </c>
    </row>
    <row r="166" spans="2:14" ht="42" hidden="1" customHeight="1">
      <c r="B166" s="10" t="s">
        <v>353</v>
      </c>
      <c r="C166" s="10" t="s">
        <v>354</v>
      </c>
      <c r="D166" s="11" t="s">
        <v>256</v>
      </c>
      <c r="E166" s="9" t="str">
        <f>IF(EXACT(IFERROR(VLOOKUP(B166,' Первый релиз (05.08)'!$A$1:$A$96,1,FALSE),"нет"),B166),"Да","Нет")</f>
        <v>Нет</v>
      </c>
      <c r="F166" s="9" t="str">
        <f>IF(EXACT(IFERROR(VLOOKUP(B166,'Первый релиз (04.09)'!$A$1:$A$96,1,FALSE),"нет"),B166),"Да","Нет")</f>
        <v>Нет</v>
      </c>
      <c r="G166" s="9" t="s">
        <v>21</v>
      </c>
      <c r="H166" s="9"/>
      <c r="I166" s="19"/>
      <c r="J166" s="12"/>
      <c r="K166" s="9">
        <v>108</v>
      </c>
      <c r="L166" s="62" t="str">
        <v>Вне объёма оценки</v>
      </c>
      <c r="M166" s="62" t="str">
        <v>В колонке H нет отметки «Да» для релиза 1.0. Выполнение по архиву в этой оценке не анализировалось.</v>
      </c>
      <c r="N166" s="62" t="str">
        <v>Исходный Excel, «Все требования», H166</v>
      </c>
    </row>
    <row r="167" spans="2:14" ht="42" hidden="1" customHeight="1">
      <c r="B167" s="10" t="s">
        <v>355</v>
      </c>
      <c r="C167" s="10" t="s">
        <v>356</v>
      </c>
      <c r="D167" s="11" t="s">
        <v>256</v>
      </c>
      <c r="E167" s="9" t="str">
        <f>IF(EXACT(IFERROR(VLOOKUP(B167,' Первый релиз (05.08)'!$A$1:$A$96,1,FALSE),"нет"),B167),"Да","Нет")</f>
        <v>Нет</v>
      </c>
      <c r="F167" s="9" t="str">
        <f>IF(EXACT(IFERROR(VLOOKUP(B167,'Первый релиз (04.09)'!$A$1:$A$96,1,FALSE),"нет"),B167),"Да","Нет")</f>
        <v>Нет</v>
      </c>
      <c r="G167" s="9" t="s">
        <v>21</v>
      </c>
      <c r="H167" s="9"/>
      <c r="I167" s="19"/>
      <c r="J167" s="12"/>
      <c r="K167" s="9">
        <v>109</v>
      </c>
      <c r="L167" s="62" t="str">
        <v>Вне объёма оценки</v>
      </c>
      <c r="M167" s="62" t="str">
        <v>В колонке H нет отметки «Да» для релиза 1.0. Выполнение по архиву в этой оценке не анализировалось.</v>
      </c>
      <c r="N167" s="62" t="str">
        <v>Исходный Excel, «Все требования», H167</v>
      </c>
    </row>
    <row r="168" spans="2:14" ht="42" hidden="1" customHeight="1">
      <c r="B168" s="10" t="s">
        <v>357</v>
      </c>
      <c r="C168" s="10" t="s">
        <v>358</v>
      </c>
      <c r="D168" s="11" t="s">
        <v>256</v>
      </c>
      <c r="E168" s="9" t="str">
        <f>IF(EXACT(IFERROR(VLOOKUP(B168,' Первый релиз (05.08)'!$A$1:$A$96,1,FALSE),"нет"),B168),"Да","Нет")</f>
        <v>Нет</v>
      </c>
      <c r="F168" s="9" t="str">
        <f>IF(EXACT(IFERROR(VLOOKUP(B168,'Первый релиз (04.09)'!$A$1:$A$96,1,FALSE),"нет"),B168),"Да","Нет")</f>
        <v>Нет</v>
      </c>
      <c r="G168" s="9" t="s">
        <v>21</v>
      </c>
      <c r="H168" s="9"/>
      <c r="I168" s="19"/>
      <c r="J168" s="12"/>
      <c r="K168" s="9">
        <v>110</v>
      </c>
      <c r="L168" s="62" t="str">
        <v>Вне объёма оценки</v>
      </c>
      <c r="M168" s="62" t="str">
        <v>В колонке H нет отметки «Да» для релиза 1.0. Выполнение по архиву в этой оценке не анализировалось.</v>
      </c>
      <c r="N168" s="62" t="str">
        <v>Исходный Excel, «Все требования», H168</v>
      </c>
    </row>
    <row r="169" spans="2:14" ht="42" hidden="1" customHeight="1">
      <c r="B169" s="10" t="s">
        <v>359</v>
      </c>
      <c r="C169" s="10" t="s">
        <v>360</v>
      </c>
      <c r="D169" s="11" t="s">
        <v>256</v>
      </c>
      <c r="E169" s="9" t="str">
        <f>IF(EXACT(IFERROR(VLOOKUP(B169,' Первый релиз (05.08)'!$A$1:$A$96,1,FALSE),"нет"),B169),"Да","Нет")</f>
        <v>Нет</v>
      </c>
      <c r="F169" s="9" t="str">
        <f>IF(EXACT(IFERROR(VLOOKUP(B169,'Первый релиз (04.09)'!$A$1:$A$96,1,FALSE),"нет"),B169),"Да","Нет")</f>
        <v>Нет</v>
      </c>
      <c r="G169" s="9" t="s">
        <v>21</v>
      </c>
      <c r="H169" s="9"/>
      <c r="I169" s="19"/>
      <c r="J169" s="12"/>
      <c r="K169" s="9">
        <v>111</v>
      </c>
      <c r="L169" s="62" t="str">
        <v>Вне объёма оценки</v>
      </c>
      <c r="M169" s="62" t="str">
        <v>В колонке H нет отметки «Да» для релиза 1.0. Выполнение по архиву в этой оценке не анализировалось.</v>
      </c>
      <c r="N169" s="62" t="str">
        <v>Исходный Excel, «Все требования», H169</v>
      </c>
    </row>
    <row r="170" spans="2:14" ht="42" hidden="1" customHeight="1">
      <c r="B170" s="10" t="s">
        <v>361</v>
      </c>
      <c r="C170" s="10" t="s">
        <v>362</v>
      </c>
      <c r="D170" s="11" t="s">
        <v>256</v>
      </c>
      <c r="E170" s="9" t="str">
        <f>IF(EXACT(IFERROR(VLOOKUP(B170,' Первый релиз (05.08)'!$A$1:$A$96,1,FALSE),"нет"),B170),"Да","Нет")</f>
        <v>Нет</v>
      </c>
      <c r="F170" s="9" t="str">
        <f>IF(EXACT(IFERROR(VLOOKUP(B170,'Первый релиз (04.09)'!$A$1:$A$96,1,FALSE),"нет"),B170),"Да","Нет")</f>
        <v>Нет</v>
      </c>
      <c r="G170" s="9" t="s">
        <v>21</v>
      </c>
      <c r="H170" s="9"/>
      <c r="I170" s="19"/>
      <c r="J170" s="12"/>
      <c r="K170" s="9">
        <v>112</v>
      </c>
      <c r="L170" s="62" t="str">
        <v>Вне объёма оценки</v>
      </c>
      <c r="M170" s="62" t="str">
        <v>В колонке H нет отметки «Да» для релиза 1.0. Выполнение по архиву в этой оценке не анализировалось.</v>
      </c>
      <c r="N170" s="62" t="str">
        <v>Исходный Excel, «Все требования», H170</v>
      </c>
    </row>
  </sheetData>
  <autoFilter ref="B2:N170" xr:uid="{00000000-0009-0000-0000-000000000000}">
    <filterColumn colId="6">
      <customFilters>
        <customFilter operator="notEqual" val=" "/>
      </customFilters>
    </filterColumn>
  </autoFilter>
  <mergeCells count="1">
    <mergeCell ref="E1:G1"/>
  </mergeCells>
  <conditionalFormatting sqref="L4:L170">
    <cfRule type="containsText" dxfId="0" priority="1" operator="containsText" text="Разрыв"/>
    <cfRule type="containsText" dxfId="1" priority="2" operator="containsText" text="разрыв"/>
    <cfRule type="containsText" dxfId="2" priority="3" operator="containsText" text="конфликт"/>
    <cfRule type="containsText" dxfId="3" priority="4" operator="containsText" text="Вне объёма"/>
  </conditionalFormatting>
  <hyperlinks>
    <hyperlink ref="D4" r:id="rId1" xr:uid="{00000000-0004-0000-0000-000000000000}"/>
    <hyperlink ref="D5" r:id="rId2" xr:uid="{00000000-0004-0000-0000-000001000000}"/>
    <hyperlink ref="D6" r:id="rId3" xr:uid="{00000000-0004-0000-0000-000002000000}"/>
    <hyperlink ref="D7" r:id="rId4" xr:uid="{00000000-0004-0000-0000-000003000000}"/>
    <hyperlink ref="D8" r:id="rId5" xr:uid="{00000000-0004-0000-0000-000004000000}"/>
    <hyperlink ref="D9" r:id="rId6" xr:uid="{00000000-0004-0000-0000-000005000000}"/>
    <hyperlink ref="D10" r:id="rId7" xr:uid="{00000000-0004-0000-0000-000006000000}"/>
    <hyperlink ref="D11" r:id="rId8" xr:uid="{00000000-0004-0000-0000-000007000000}"/>
    <hyperlink ref="D12" r:id="rId9" xr:uid="{00000000-0004-0000-0000-000008000000}"/>
    <hyperlink ref="D13" r:id="rId10" xr:uid="{00000000-0004-0000-0000-000009000000}"/>
    <hyperlink ref="D14" r:id="rId11" xr:uid="{00000000-0004-0000-0000-00000A000000}"/>
    <hyperlink ref="D15" r:id="rId12" xr:uid="{00000000-0004-0000-0000-00000B000000}"/>
    <hyperlink ref="D16" r:id="rId13" xr:uid="{00000000-0004-0000-0000-00000C000000}"/>
    <hyperlink ref="D17" r:id="rId14" xr:uid="{00000000-0004-0000-0000-00000D000000}"/>
    <hyperlink ref="D18" r:id="rId15" xr:uid="{00000000-0004-0000-0000-00000E000000}"/>
    <hyperlink ref="D19" r:id="rId16" xr:uid="{00000000-0004-0000-0000-00000F000000}"/>
    <hyperlink ref="D20" r:id="rId17" display="https://jira.sberbank.ru/browse/CRPLTFRM-37124" xr:uid="{00000000-0004-0000-0000-000010000000}"/>
    <hyperlink ref="D21" r:id="rId18" xr:uid="{00000000-0004-0000-0000-000011000000}"/>
    <hyperlink ref="D22" r:id="rId19" xr:uid="{00000000-0004-0000-0000-000012000000}"/>
    <hyperlink ref="D23" r:id="rId20" xr:uid="{00000000-0004-0000-0000-000013000000}"/>
    <hyperlink ref="D24" r:id="rId21" xr:uid="{00000000-0004-0000-0000-000014000000}"/>
    <hyperlink ref="D25" r:id="rId22" xr:uid="{00000000-0004-0000-0000-000015000000}"/>
    <hyperlink ref="D26" r:id="rId23" xr:uid="{00000000-0004-0000-0000-000016000000}"/>
    <hyperlink ref="D27" r:id="rId24" xr:uid="{00000000-0004-0000-0000-000017000000}"/>
    <hyperlink ref="D28" r:id="rId25" xr:uid="{00000000-0004-0000-0000-000018000000}"/>
    <hyperlink ref="D29" r:id="rId26" xr:uid="{00000000-0004-0000-0000-000019000000}"/>
    <hyperlink ref="D30" r:id="rId27" xr:uid="{00000000-0004-0000-0000-00001A000000}"/>
    <hyperlink ref="D31" r:id="rId28" xr:uid="{00000000-0004-0000-0000-00001B000000}"/>
    <hyperlink ref="D32" r:id="rId29" xr:uid="{00000000-0004-0000-0000-00001C000000}"/>
    <hyperlink ref="D33" r:id="rId30" xr:uid="{00000000-0004-0000-0000-00001D000000}"/>
    <hyperlink ref="D34" r:id="rId31" xr:uid="{00000000-0004-0000-0000-00001E000000}"/>
    <hyperlink ref="D35" r:id="rId32" xr:uid="{00000000-0004-0000-0000-00001F000000}"/>
    <hyperlink ref="D36" r:id="rId33" display="https://jira.sberbank.ru/browse/CRPLTFRM-37124" xr:uid="{00000000-0004-0000-0000-000020000000}"/>
    <hyperlink ref="D37" r:id="rId34" xr:uid="{00000000-0004-0000-0000-000021000000}"/>
    <hyperlink ref="D38" r:id="rId35" xr:uid="{00000000-0004-0000-0000-000022000000}"/>
    <hyperlink ref="D39" r:id="rId36" xr:uid="{00000000-0004-0000-0000-000023000000}"/>
    <hyperlink ref="D40" r:id="rId37" xr:uid="{00000000-0004-0000-0000-000024000000}"/>
    <hyperlink ref="D41" r:id="rId38" xr:uid="{00000000-0004-0000-0000-000025000000}"/>
    <hyperlink ref="D42" r:id="rId39" xr:uid="{00000000-0004-0000-0000-000026000000}"/>
    <hyperlink ref="D43" r:id="rId40" xr:uid="{00000000-0004-0000-0000-000027000000}"/>
    <hyperlink ref="D44" r:id="rId41" xr:uid="{00000000-0004-0000-0000-000028000000}"/>
    <hyperlink ref="D45" r:id="rId42" xr:uid="{00000000-0004-0000-0000-000029000000}"/>
    <hyperlink ref="D46" r:id="rId43" xr:uid="{00000000-0004-0000-0000-00002A000000}"/>
    <hyperlink ref="D47" r:id="rId44" xr:uid="{00000000-0004-0000-0000-00002B000000}"/>
    <hyperlink ref="D48" r:id="rId45" xr:uid="{00000000-0004-0000-0000-00002C000000}"/>
    <hyperlink ref="D49" r:id="rId46" xr:uid="{00000000-0004-0000-0000-00002D000000}"/>
    <hyperlink ref="D50" r:id="rId47" xr:uid="{00000000-0004-0000-0000-00002E000000}"/>
    <hyperlink ref="D51" r:id="rId48" xr:uid="{00000000-0004-0000-0000-00002F000000}"/>
    <hyperlink ref="D52" r:id="rId49" xr:uid="{00000000-0004-0000-0000-000030000000}"/>
    <hyperlink ref="D53" r:id="rId50" xr:uid="{00000000-0004-0000-0000-000031000000}"/>
    <hyperlink ref="D54" r:id="rId51" xr:uid="{00000000-0004-0000-0000-000032000000}"/>
    <hyperlink ref="D55" r:id="rId52" xr:uid="{00000000-0004-0000-0000-000033000000}"/>
    <hyperlink ref="D56" r:id="rId53" xr:uid="{00000000-0004-0000-0000-000034000000}"/>
    <hyperlink ref="D57" r:id="rId54" xr:uid="{00000000-0004-0000-0000-000035000000}"/>
    <hyperlink ref="D58" r:id="rId55" xr:uid="{00000000-0004-0000-0000-000036000000}"/>
    <hyperlink ref="D58" r:id="rId56" xr:uid="{00000000-0004-0000-0000-000037000000}"/>
    <hyperlink ref="D59" r:id="rId57" xr:uid="{00000000-0004-0000-0000-000038000000}"/>
    <hyperlink ref="D60" r:id="rId58" xr:uid="{00000000-0004-0000-0000-000039000000}"/>
    <hyperlink ref="D61" r:id="rId59" xr:uid="{00000000-0004-0000-0000-00003A000000}"/>
    <hyperlink ref="D62" r:id="rId60" xr:uid="{00000000-0004-0000-0000-00003B000000}"/>
    <hyperlink ref="D63" r:id="rId61" xr:uid="{00000000-0004-0000-0000-00003C000000}"/>
    <hyperlink ref="D64" r:id="rId62" xr:uid="{00000000-0004-0000-0000-00003D000000}"/>
    <hyperlink ref="D65" r:id="rId63" xr:uid="{00000000-0004-0000-0000-00003E000000}"/>
    <hyperlink ref="D66" r:id="rId64" xr:uid="{00000000-0004-0000-0000-00003F000000}"/>
    <hyperlink ref="D67" r:id="rId65" xr:uid="{00000000-0004-0000-0000-000040000000}"/>
    <hyperlink ref="D68" r:id="rId66" xr:uid="{00000000-0004-0000-0000-000041000000}"/>
    <hyperlink ref="D69" r:id="rId67" xr:uid="{00000000-0004-0000-0000-000042000000}"/>
    <hyperlink ref="D71" r:id="rId68" xr:uid="{00000000-0004-0000-0000-000043000000}"/>
    <hyperlink ref="D72" r:id="rId69" xr:uid="{00000000-0004-0000-0000-000044000000}"/>
    <hyperlink ref="D73" r:id="rId70" xr:uid="{00000000-0004-0000-0000-000045000000}"/>
    <hyperlink ref="D74" r:id="rId71" xr:uid="{00000000-0004-0000-0000-000046000000}"/>
    <hyperlink ref="D75" r:id="rId72" xr:uid="{00000000-0004-0000-0000-000047000000}"/>
    <hyperlink ref="D76" r:id="rId73" xr:uid="{00000000-0004-0000-0000-000048000000}"/>
    <hyperlink ref="D77" r:id="rId74" xr:uid="{00000000-0004-0000-0000-000049000000}"/>
    <hyperlink ref="D78" r:id="rId75" xr:uid="{00000000-0004-0000-0000-00004A000000}"/>
    <hyperlink ref="D79" r:id="rId76" xr:uid="{00000000-0004-0000-0000-00004B000000}"/>
    <hyperlink ref="D80" r:id="rId77" xr:uid="{00000000-0004-0000-0000-00004C000000}"/>
    <hyperlink ref="D81" r:id="rId78" xr:uid="{00000000-0004-0000-0000-00004D000000}"/>
    <hyperlink ref="D82" r:id="rId79" xr:uid="{00000000-0004-0000-0000-00004E000000}"/>
    <hyperlink ref="D83" r:id="rId80" xr:uid="{00000000-0004-0000-0000-00004F000000}"/>
    <hyperlink ref="D84" r:id="rId81" xr:uid="{00000000-0004-0000-0000-000050000000}"/>
    <hyperlink ref="D85" r:id="rId82" xr:uid="{00000000-0004-0000-0000-000051000000}"/>
    <hyperlink ref="D86" r:id="rId83" xr:uid="{00000000-0004-0000-0000-000052000000}"/>
    <hyperlink ref="D87" r:id="rId84" xr:uid="{00000000-0004-0000-0000-000053000000}"/>
    <hyperlink ref="D88" r:id="rId85" xr:uid="{00000000-0004-0000-0000-000054000000}"/>
    <hyperlink ref="D89" r:id="rId86" xr:uid="{00000000-0004-0000-0000-000055000000}"/>
    <hyperlink ref="D90" r:id="rId87" xr:uid="{00000000-0004-0000-0000-000056000000}"/>
    <hyperlink ref="D91" r:id="rId88" xr:uid="{00000000-0004-0000-0000-000057000000}"/>
    <hyperlink ref="D92" r:id="rId89" xr:uid="{00000000-0004-0000-0000-000058000000}"/>
    <hyperlink ref="D93" r:id="rId90" xr:uid="{00000000-0004-0000-0000-000059000000}"/>
    <hyperlink ref="D94" r:id="rId91" xr:uid="{00000000-0004-0000-0000-00005A000000}"/>
    <hyperlink ref="D95" r:id="rId92" xr:uid="{00000000-0004-0000-0000-00005B000000}"/>
    <hyperlink ref="D96" r:id="rId93" xr:uid="{00000000-0004-0000-0000-00005C000000}"/>
    <hyperlink ref="D97" r:id="rId94" xr:uid="{00000000-0004-0000-0000-00005D000000}"/>
    <hyperlink ref="D98" r:id="rId95" xr:uid="{00000000-0004-0000-0000-00005E000000}"/>
    <hyperlink ref="D99" r:id="rId96" xr:uid="{00000000-0004-0000-0000-00005F000000}"/>
    <hyperlink ref="D100" r:id="rId97" xr:uid="{00000000-0004-0000-0000-000060000000}"/>
    <hyperlink ref="D101" r:id="rId98" xr:uid="{00000000-0004-0000-0000-000061000000}"/>
    <hyperlink ref="D102" r:id="rId99" xr:uid="{00000000-0004-0000-0000-000062000000}"/>
    <hyperlink ref="D103" r:id="rId100" xr:uid="{00000000-0004-0000-0000-000063000000}"/>
    <hyperlink ref="D104" r:id="rId101" xr:uid="{00000000-0004-0000-0000-000064000000}"/>
    <hyperlink ref="D105" r:id="rId102" xr:uid="{00000000-0004-0000-0000-000065000000}"/>
    <hyperlink ref="D106" r:id="rId103" xr:uid="{00000000-0004-0000-0000-000066000000}"/>
    <hyperlink ref="D107" r:id="rId104" xr:uid="{00000000-0004-0000-0000-000067000000}"/>
    <hyperlink ref="D108" r:id="rId105" xr:uid="{00000000-0004-0000-0000-000068000000}"/>
    <hyperlink ref="D109" r:id="rId106" xr:uid="{00000000-0004-0000-0000-000069000000}"/>
    <hyperlink ref="D110" r:id="rId107" xr:uid="{00000000-0004-0000-0000-00006A000000}"/>
    <hyperlink ref="D111" r:id="rId108" xr:uid="{00000000-0004-0000-0000-00006B000000}"/>
    <hyperlink ref="D112" r:id="rId109" xr:uid="{00000000-0004-0000-0000-00006C000000}"/>
    <hyperlink ref="D113" r:id="rId110" xr:uid="{00000000-0004-0000-0000-00006D000000}"/>
    <hyperlink ref="D114" r:id="rId111" xr:uid="{00000000-0004-0000-0000-00006E000000}"/>
    <hyperlink ref="D115" r:id="rId112" xr:uid="{00000000-0004-0000-0000-00006F000000}"/>
    <hyperlink ref="D116" r:id="rId113" xr:uid="{00000000-0004-0000-0000-000070000000}"/>
    <hyperlink ref="D117" r:id="rId114" xr:uid="{00000000-0004-0000-0000-000071000000}"/>
    <hyperlink ref="D118" r:id="rId115" xr:uid="{00000000-0004-0000-0000-000072000000}"/>
    <hyperlink ref="D119" r:id="rId116" xr:uid="{00000000-0004-0000-0000-000073000000}"/>
    <hyperlink ref="D120" r:id="rId117" xr:uid="{00000000-0004-0000-0000-000074000000}"/>
    <hyperlink ref="D121" r:id="rId118" xr:uid="{00000000-0004-0000-0000-000075000000}"/>
    <hyperlink ref="D122" r:id="rId119" xr:uid="{00000000-0004-0000-0000-000076000000}"/>
    <hyperlink ref="D123" r:id="rId120" xr:uid="{00000000-0004-0000-0000-000077000000}"/>
    <hyperlink ref="D124" r:id="rId121" xr:uid="{00000000-0004-0000-0000-000078000000}"/>
    <hyperlink ref="D125" r:id="rId122" xr:uid="{00000000-0004-0000-0000-000079000000}"/>
    <hyperlink ref="D126" r:id="rId123" xr:uid="{00000000-0004-0000-0000-00007A000000}"/>
    <hyperlink ref="D127" r:id="rId124" xr:uid="{00000000-0004-0000-0000-00007B000000}"/>
    <hyperlink ref="D128" r:id="rId125" xr:uid="{00000000-0004-0000-0000-00007C000000}"/>
    <hyperlink ref="D129" r:id="rId126" xr:uid="{00000000-0004-0000-0000-00007D000000}"/>
    <hyperlink ref="D130" r:id="rId127" xr:uid="{00000000-0004-0000-0000-00007E000000}"/>
    <hyperlink ref="D131" r:id="rId128" xr:uid="{00000000-0004-0000-0000-00007F000000}"/>
    <hyperlink ref="D132" r:id="rId129" xr:uid="{00000000-0004-0000-0000-000080000000}"/>
    <hyperlink ref="D133" r:id="rId130" xr:uid="{00000000-0004-0000-0000-000081000000}"/>
    <hyperlink ref="D134" r:id="rId131" xr:uid="{00000000-0004-0000-0000-000082000000}"/>
    <hyperlink ref="D135" r:id="rId132" xr:uid="{00000000-0004-0000-0000-000083000000}"/>
    <hyperlink ref="D136" r:id="rId133" xr:uid="{00000000-0004-0000-0000-000084000000}"/>
    <hyperlink ref="D137" r:id="rId134" xr:uid="{00000000-0004-0000-0000-000085000000}"/>
    <hyperlink ref="D138" r:id="rId135" xr:uid="{00000000-0004-0000-0000-000086000000}"/>
    <hyperlink ref="D139" r:id="rId136" xr:uid="{00000000-0004-0000-0000-000087000000}"/>
    <hyperlink ref="D140" r:id="rId137" xr:uid="{00000000-0004-0000-0000-000088000000}"/>
    <hyperlink ref="D141" r:id="rId138" xr:uid="{00000000-0004-0000-0000-000089000000}"/>
    <hyperlink ref="D142" r:id="rId139" xr:uid="{00000000-0004-0000-0000-00008A000000}"/>
    <hyperlink ref="D143" r:id="rId140" xr:uid="{00000000-0004-0000-0000-00008B000000}"/>
    <hyperlink ref="D144" r:id="rId141" xr:uid="{00000000-0004-0000-0000-00008C000000}"/>
    <hyperlink ref="D146" r:id="rId142" xr:uid="{00000000-0004-0000-0000-00008D000000}"/>
    <hyperlink ref="D147" r:id="rId143" xr:uid="{00000000-0004-0000-0000-00008E000000}"/>
    <hyperlink ref="D148" r:id="rId144" xr:uid="{00000000-0004-0000-0000-00008F000000}"/>
    <hyperlink ref="D150" r:id="rId145" xr:uid="{00000000-0004-0000-0000-000090000000}"/>
    <hyperlink ref="D152" r:id="rId146" xr:uid="{00000000-0004-0000-0000-000091000000}"/>
    <hyperlink ref="D153" r:id="rId147" xr:uid="{00000000-0004-0000-0000-000092000000}"/>
    <hyperlink ref="D154" r:id="rId148" xr:uid="{00000000-0004-0000-0000-000093000000}"/>
    <hyperlink ref="D155" r:id="rId149" xr:uid="{00000000-0004-0000-0000-000094000000}"/>
    <hyperlink ref="D156" r:id="rId150" xr:uid="{00000000-0004-0000-0000-000095000000}"/>
    <hyperlink ref="D157" r:id="rId151" xr:uid="{00000000-0004-0000-0000-000096000000}"/>
    <hyperlink ref="D158" r:id="rId152" xr:uid="{00000000-0004-0000-0000-000097000000}"/>
    <hyperlink ref="D159" r:id="rId153" xr:uid="{00000000-0004-0000-0000-000098000000}"/>
    <hyperlink ref="D160" r:id="rId154" xr:uid="{00000000-0004-0000-0000-000099000000}"/>
    <hyperlink ref="D161" r:id="rId155" xr:uid="{00000000-0004-0000-0000-00009A000000}"/>
    <hyperlink ref="D162" r:id="rId156" xr:uid="{00000000-0004-0000-0000-00009B000000}"/>
    <hyperlink ref="D163" r:id="rId157" xr:uid="{00000000-0004-0000-0000-00009C000000}"/>
    <hyperlink ref="D164" r:id="rId158" xr:uid="{00000000-0004-0000-0000-00009D000000}"/>
    <hyperlink ref="D165" r:id="rId159" xr:uid="{00000000-0004-0000-0000-00009E000000}"/>
    <hyperlink ref="D166" r:id="rId160" xr:uid="{00000000-0004-0000-0000-00009F000000}"/>
    <hyperlink ref="D167" r:id="rId161" xr:uid="{00000000-0004-0000-0000-0000A0000000}"/>
    <hyperlink ref="D168" r:id="rId162" xr:uid="{00000000-0004-0000-0000-0000A1000000}"/>
    <hyperlink ref="D169" r:id="rId163" xr:uid="{00000000-0004-0000-0000-0000A2000000}"/>
    <hyperlink ref="D170" r:id="rId164" xr:uid="{00000000-0004-0000-0000-0000A3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topLeftCell="A4" workbookViewId="0">
      <selection activeCell="B53" sqref="B53"/>
    </sheetView>
  </sheetViews>
  <sheetFormatPr baseColWidth="10" defaultColWidth="8.83203125" defaultRowHeight="14"/>
  <cols>
    <col min="1" max="1" width="23.83203125" customWidth="1"/>
    <col min="2" max="2" width="50.1640625" customWidth="1"/>
    <col min="3" max="3" width="41.33203125" customWidth="1"/>
  </cols>
  <sheetData>
    <row r="1" spans="1:3" ht="15">
      <c r="A1" s="32" t="s">
        <v>1</v>
      </c>
      <c r="B1" s="32" t="s">
        <v>363</v>
      </c>
      <c r="C1" s="32" t="s">
        <v>364</v>
      </c>
    </row>
    <row r="2" spans="1:3" ht="75">
      <c r="A2" s="8" t="s">
        <v>12</v>
      </c>
      <c r="B2" s="33" t="s">
        <v>13</v>
      </c>
      <c r="C2" s="33" t="s">
        <v>15</v>
      </c>
    </row>
    <row r="3" spans="1:3" ht="45">
      <c r="A3" s="8" t="s">
        <v>24</v>
      </c>
      <c r="B3" s="34" t="s">
        <v>25</v>
      </c>
      <c r="C3" s="8" t="s">
        <v>365</v>
      </c>
    </row>
    <row r="4" spans="1:3" ht="30">
      <c r="A4" s="34" t="s">
        <v>27</v>
      </c>
      <c r="B4" s="34" t="s">
        <v>28</v>
      </c>
      <c r="C4" s="35" t="s">
        <v>366</v>
      </c>
    </row>
    <row r="5" spans="1:3" ht="15">
      <c r="A5" s="34" t="s">
        <v>30</v>
      </c>
      <c r="B5" s="34" t="s">
        <v>31</v>
      </c>
      <c r="C5" s="8" t="s">
        <v>366</v>
      </c>
    </row>
    <row r="6" spans="1:3" ht="45">
      <c r="A6" s="34" t="s">
        <v>55</v>
      </c>
      <c r="B6" s="34" t="s">
        <v>56</v>
      </c>
      <c r="C6" s="35" t="s">
        <v>367</v>
      </c>
    </row>
    <row r="7" spans="1:3" ht="45">
      <c r="A7" s="34" t="s">
        <v>58</v>
      </c>
      <c r="B7" s="34" t="s">
        <v>59</v>
      </c>
      <c r="C7" s="8" t="s">
        <v>15</v>
      </c>
    </row>
    <row r="8" spans="1:3" ht="60">
      <c r="A8" s="34" t="s">
        <v>60</v>
      </c>
      <c r="B8" s="34" t="s">
        <v>61</v>
      </c>
      <c r="C8" s="35" t="s">
        <v>368</v>
      </c>
    </row>
    <row r="9" spans="1:3" ht="60">
      <c r="A9" s="34" t="s">
        <v>64</v>
      </c>
      <c r="B9" s="34" t="s">
        <v>65</v>
      </c>
      <c r="C9" s="8" t="s">
        <v>369</v>
      </c>
    </row>
    <row r="10" spans="1:3" ht="30">
      <c r="A10" s="8" t="s">
        <v>66</v>
      </c>
      <c r="B10" s="34" t="s">
        <v>67</v>
      </c>
      <c r="C10" s="8" t="s">
        <v>370</v>
      </c>
    </row>
    <row r="11" spans="1:3" ht="30">
      <c r="A11" s="34" t="s">
        <v>68</v>
      </c>
      <c r="B11" s="34" t="s">
        <v>69</v>
      </c>
      <c r="C11" s="35" t="s">
        <v>371</v>
      </c>
    </row>
    <row r="12" spans="1:3" ht="45">
      <c r="A12" s="34" t="s">
        <v>70</v>
      </c>
      <c r="B12" s="34" t="s">
        <v>71</v>
      </c>
      <c r="C12" s="36" t="s">
        <v>372</v>
      </c>
    </row>
    <row r="13" spans="1:3" ht="75">
      <c r="A13" s="34" t="s">
        <v>73</v>
      </c>
      <c r="B13" s="34" t="s">
        <v>74</v>
      </c>
      <c r="C13" s="36" t="s">
        <v>373</v>
      </c>
    </row>
    <row r="14" spans="1:3" ht="45">
      <c r="A14" s="34" t="s">
        <v>87</v>
      </c>
      <c r="B14" s="34" t="s">
        <v>88</v>
      </c>
      <c r="C14" s="8" t="s">
        <v>374</v>
      </c>
    </row>
    <row r="15" spans="1:3" ht="120">
      <c r="A15" s="34" t="s">
        <v>90</v>
      </c>
      <c r="B15" s="34" t="s">
        <v>91</v>
      </c>
      <c r="C15" s="35" t="s">
        <v>375</v>
      </c>
    </row>
    <row r="16" spans="1:3" ht="45">
      <c r="A16" s="34" t="s">
        <v>92</v>
      </c>
      <c r="B16" s="34" t="s">
        <v>376</v>
      </c>
      <c r="C16" s="33" t="s">
        <v>377</v>
      </c>
    </row>
    <row r="17" spans="1:3" ht="30">
      <c r="A17" s="34" t="s">
        <v>95</v>
      </c>
      <c r="B17" s="34" t="s">
        <v>96</v>
      </c>
      <c r="C17" s="35" t="s">
        <v>378</v>
      </c>
    </row>
    <row r="18" spans="1:3" ht="90">
      <c r="A18" s="34" t="s">
        <v>97</v>
      </c>
      <c r="B18" s="34" t="s">
        <v>98</v>
      </c>
      <c r="C18" s="33" t="s">
        <v>379</v>
      </c>
    </row>
    <row r="19" spans="1:3" ht="90">
      <c r="A19" s="34" t="s">
        <v>99</v>
      </c>
      <c r="B19" s="34" t="s">
        <v>100</v>
      </c>
      <c r="C19" s="33" t="s">
        <v>379</v>
      </c>
    </row>
    <row r="20" spans="1:3" ht="90">
      <c r="A20" s="8" t="s">
        <v>101</v>
      </c>
      <c r="B20" s="34" t="s">
        <v>102</v>
      </c>
      <c r="C20" s="33" t="s">
        <v>379</v>
      </c>
    </row>
    <row r="21" spans="1:3" ht="90">
      <c r="A21" s="8" t="s">
        <v>103</v>
      </c>
      <c r="B21" s="34" t="s">
        <v>104</v>
      </c>
      <c r="C21" s="33" t="s">
        <v>379</v>
      </c>
    </row>
    <row r="22" spans="1:3" ht="90">
      <c r="A22" s="34" t="s">
        <v>105</v>
      </c>
      <c r="B22" s="34" t="s">
        <v>106</v>
      </c>
      <c r="C22" s="33" t="s">
        <v>379</v>
      </c>
    </row>
    <row r="23" spans="1:3" ht="90">
      <c r="A23" s="8" t="s">
        <v>107</v>
      </c>
      <c r="B23" s="34" t="s">
        <v>108</v>
      </c>
      <c r="C23" s="33" t="s">
        <v>379</v>
      </c>
    </row>
    <row r="24" spans="1:3" ht="90">
      <c r="A24" s="8" t="s">
        <v>109</v>
      </c>
      <c r="B24" s="34" t="s">
        <v>110</v>
      </c>
      <c r="C24" s="33" t="s">
        <v>379</v>
      </c>
    </row>
    <row r="25" spans="1:3" ht="90">
      <c r="A25" s="8" t="s">
        <v>111</v>
      </c>
      <c r="B25" s="34" t="s">
        <v>112</v>
      </c>
      <c r="C25" s="33" t="s">
        <v>379</v>
      </c>
    </row>
    <row r="26" spans="1:3" ht="90">
      <c r="A26" s="8" t="s">
        <v>113</v>
      </c>
      <c r="B26" s="34" t="s">
        <v>114</v>
      </c>
      <c r="C26" s="33" t="s">
        <v>380</v>
      </c>
    </row>
    <row r="27" spans="1:3" ht="150">
      <c r="A27" s="34" t="s">
        <v>115</v>
      </c>
      <c r="B27" s="34" t="s">
        <v>116</v>
      </c>
      <c r="C27" s="33" t="s">
        <v>381</v>
      </c>
    </row>
    <row r="28" spans="1:3" ht="150">
      <c r="A28" s="8" t="s">
        <v>117</v>
      </c>
      <c r="B28" s="34" t="s">
        <v>118</v>
      </c>
      <c r="C28" s="33" t="s">
        <v>381</v>
      </c>
    </row>
    <row r="29" spans="1:3" ht="45">
      <c r="A29" s="34" t="s">
        <v>119</v>
      </c>
      <c r="B29" s="34" t="s">
        <v>120</v>
      </c>
      <c r="C29" s="8" t="s">
        <v>382</v>
      </c>
    </row>
    <row r="30" spans="1:3" ht="45">
      <c r="A30" s="34" t="s">
        <v>121</v>
      </c>
      <c r="B30" s="34" t="s">
        <v>122</v>
      </c>
      <c r="C30" s="35" t="s">
        <v>382</v>
      </c>
    </row>
    <row r="31" spans="1:3" ht="15">
      <c r="A31" s="8" t="s">
        <v>127</v>
      </c>
      <c r="B31" s="34" t="s">
        <v>128</v>
      </c>
      <c r="C31" s="8" t="s">
        <v>15</v>
      </c>
    </row>
    <row r="32" spans="1:3" ht="31">
      <c r="A32" s="34" t="s">
        <v>136</v>
      </c>
      <c r="B32" s="34" t="s">
        <v>137</v>
      </c>
      <c r="C32" s="36" t="s">
        <v>383</v>
      </c>
    </row>
    <row r="33" spans="1:3" ht="45">
      <c r="A33" s="34" t="s">
        <v>147</v>
      </c>
      <c r="B33" s="34" t="s">
        <v>148</v>
      </c>
      <c r="C33" s="8" t="s">
        <v>15</v>
      </c>
    </row>
    <row r="34" spans="1:3" ht="45">
      <c r="A34" s="34" t="s">
        <v>151</v>
      </c>
      <c r="B34" s="34" t="s">
        <v>152</v>
      </c>
      <c r="C34" s="36" t="s">
        <v>384</v>
      </c>
    </row>
    <row r="35" spans="1:3" ht="30">
      <c r="A35" s="34" t="s">
        <v>153</v>
      </c>
      <c r="B35" s="34" t="s">
        <v>154</v>
      </c>
      <c r="C35" s="8" t="s">
        <v>15</v>
      </c>
    </row>
    <row r="36" spans="1:3" ht="60">
      <c r="A36" s="34" t="s">
        <v>155</v>
      </c>
      <c r="B36" s="34" t="s">
        <v>385</v>
      </c>
      <c r="C36" s="8" t="s">
        <v>15</v>
      </c>
    </row>
    <row r="37" spans="1:3" ht="60">
      <c r="A37" s="34" t="s">
        <v>239</v>
      </c>
      <c r="B37" s="34" t="s">
        <v>386</v>
      </c>
      <c r="C37" s="36" t="s">
        <v>387</v>
      </c>
    </row>
    <row r="38" spans="1:3" ht="30">
      <c r="A38" s="35" t="s">
        <v>254</v>
      </c>
      <c r="B38" s="35" t="s">
        <v>255</v>
      </c>
      <c r="C38" s="35" t="s">
        <v>388</v>
      </c>
    </row>
    <row r="39" spans="1:3" ht="30">
      <c r="A39" s="35" t="s">
        <v>257</v>
      </c>
      <c r="B39" s="35" t="s">
        <v>258</v>
      </c>
      <c r="C39" s="35" t="s">
        <v>389</v>
      </c>
    </row>
    <row r="40" spans="1:3" ht="15">
      <c r="A40" s="35" t="s">
        <v>259</v>
      </c>
      <c r="B40" s="35" t="s">
        <v>260</v>
      </c>
      <c r="C40" s="8" t="s">
        <v>15</v>
      </c>
    </row>
    <row r="41" spans="1:3" ht="60">
      <c r="A41" s="35" t="s">
        <v>261</v>
      </c>
      <c r="B41" s="35" t="s">
        <v>262</v>
      </c>
      <c r="C41" s="35" t="s">
        <v>390</v>
      </c>
    </row>
    <row r="42" spans="1:3" ht="75">
      <c r="A42" s="35" t="s">
        <v>263</v>
      </c>
      <c r="B42" s="35" t="s">
        <v>391</v>
      </c>
      <c r="C42" s="35" t="s">
        <v>392</v>
      </c>
    </row>
    <row r="43" spans="1:3" ht="15">
      <c r="A43" s="35" t="s">
        <v>265</v>
      </c>
      <c r="B43" s="35" t="s">
        <v>266</v>
      </c>
      <c r="C43" s="35" t="s">
        <v>393</v>
      </c>
    </row>
    <row r="44" spans="1:3" ht="45">
      <c r="A44" s="35" t="s">
        <v>273</v>
      </c>
      <c r="B44" s="35" t="s">
        <v>274</v>
      </c>
      <c r="C44" s="35" t="s">
        <v>392</v>
      </c>
    </row>
    <row r="45" spans="1:3" ht="30">
      <c r="A45" s="35" t="s">
        <v>277</v>
      </c>
      <c r="B45" s="35" t="s">
        <v>278</v>
      </c>
      <c r="C45" s="35" t="s">
        <v>392</v>
      </c>
    </row>
    <row r="46" spans="1:3" ht="45">
      <c r="A46" s="35" t="s">
        <v>279</v>
      </c>
      <c r="B46" s="35" t="s">
        <v>280</v>
      </c>
      <c r="C46" s="35" t="s">
        <v>392</v>
      </c>
    </row>
    <row r="47" spans="1:3" ht="30">
      <c r="A47" s="35" t="s">
        <v>281</v>
      </c>
      <c r="B47" s="35" t="s">
        <v>282</v>
      </c>
      <c r="C47" s="35" t="s">
        <v>394</v>
      </c>
    </row>
    <row r="48" spans="1:3" ht="45">
      <c r="A48" s="35" t="s">
        <v>315</v>
      </c>
      <c r="B48" s="35" t="s">
        <v>316</v>
      </c>
      <c r="C48" s="8" t="s">
        <v>395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6"/>
  <sheetViews>
    <sheetView topLeftCell="A74" workbookViewId="0">
      <selection activeCell="B87" sqref="B87"/>
    </sheetView>
  </sheetViews>
  <sheetFormatPr baseColWidth="10" defaultColWidth="8.83203125" defaultRowHeight="14"/>
  <cols>
    <col min="1" max="1" width="12.1640625" bestFit="1" customWidth="1"/>
    <col min="2" max="2" width="122.6640625" customWidth="1"/>
    <col min="3" max="3" width="13.5" customWidth="1"/>
  </cols>
  <sheetData>
    <row r="1" spans="1:3" ht="28">
      <c r="A1" s="37" t="s">
        <v>396</v>
      </c>
      <c r="B1" s="38" t="s">
        <v>397</v>
      </c>
      <c r="C1" s="39" t="s">
        <v>398</v>
      </c>
    </row>
    <row r="2" spans="1:3" ht="28">
      <c r="A2" s="40" t="s">
        <v>12</v>
      </c>
      <c r="B2" s="41" t="s">
        <v>13</v>
      </c>
      <c r="C2" s="42" t="str">
        <f>VLOOKUP(A2,'Все требования'!$B$2:$B$170,1,FALSE)</f>
        <v>ДКБ-РМ-01</v>
      </c>
    </row>
    <row r="3" spans="1:3">
      <c r="A3" s="40" t="s">
        <v>16</v>
      </c>
      <c r="B3" s="41" t="s">
        <v>399</v>
      </c>
      <c r="C3" s="42" t="str">
        <f>VLOOKUP(A3,'Все требования'!$B$2:$B$170,1,FALSE)</f>
        <v>ДКБ-РМ-02</v>
      </c>
    </row>
    <row r="4" spans="1:3">
      <c r="A4" s="40" t="s">
        <v>27</v>
      </c>
      <c r="B4" s="41" t="s">
        <v>28</v>
      </c>
      <c r="C4" s="42" t="str">
        <f>VLOOKUP(A4,'Все требования'!$B$2:$B$170,1,FALSE)</f>
        <v>ДКБ-РМ-06</v>
      </c>
    </row>
    <row r="5" spans="1:3">
      <c r="A5" s="40" t="s">
        <v>30</v>
      </c>
      <c r="B5" s="41" t="s">
        <v>31</v>
      </c>
      <c r="C5" s="42" t="str">
        <f>VLOOKUP(A5,'Все требования'!$B$2:$B$170,1,FALSE)</f>
        <v>ДКБ-РМ-07</v>
      </c>
    </row>
    <row r="6" spans="1:3">
      <c r="A6" s="40" t="s">
        <v>32</v>
      </c>
      <c r="B6" s="41" t="s">
        <v>33</v>
      </c>
      <c r="C6" s="42" t="str">
        <f>VLOOKUP(A6,'Все требования'!$B$2:$B$170,1,FALSE)</f>
        <v>ДКБ-РМ-08</v>
      </c>
    </row>
    <row r="7" spans="1:3">
      <c r="A7" s="40" t="s">
        <v>35</v>
      </c>
      <c r="B7" s="41" t="s">
        <v>400</v>
      </c>
      <c r="C7" s="42" t="str">
        <f>VLOOKUP(A7,'Все требования'!$B$2:$B$170,1,FALSE)</f>
        <v>ДКБ-РМ-09</v>
      </c>
    </row>
    <row r="8" spans="1:3" ht="28">
      <c r="A8" s="40" t="s">
        <v>43</v>
      </c>
      <c r="B8" s="41" t="s">
        <v>44</v>
      </c>
      <c r="C8" s="42" t="str">
        <f>VLOOKUP(A8,'Все требования'!$B$2:$B$170,1,FALSE)</f>
        <v>ДКБ-РМ-12</v>
      </c>
    </row>
    <row r="9" spans="1:3" ht="42">
      <c r="A9" s="40" t="s">
        <v>46</v>
      </c>
      <c r="B9" s="41" t="s">
        <v>401</v>
      </c>
      <c r="C9" s="42" t="str">
        <f>VLOOKUP(A9,'Все требования'!$B$2:$B$170,1,FALSE)</f>
        <v>ДКБ-РМ-13</v>
      </c>
    </row>
    <row r="10" spans="1:3" ht="42">
      <c r="A10" s="40" t="s">
        <v>48</v>
      </c>
      <c r="B10" s="41" t="s">
        <v>49</v>
      </c>
      <c r="C10" s="42" t="str">
        <f>VLOOKUP(A10,'Все требования'!$B$2:$B$170,1,FALSE)</f>
        <v>ДКБ-РМ-14</v>
      </c>
    </row>
    <row r="11" spans="1:3" ht="182">
      <c r="A11" s="40" t="s">
        <v>50</v>
      </c>
      <c r="B11" s="41" t="s">
        <v>402</v>
      </c>
      <c r="C11" s="42" t="str">
        <f>VLOOKUP(A11,'Все требования'!$B$2:$B$170,1,FALSE)</f>
        <v>ДКБ-РМ-15</v>
      </c>
    </row>
    <row r="12" spans="1:3">
      <c r="A12" s="40" t="s">
        <v>58</v>
      </c>
      <c r="B12" s="41" t="s">
        <v>59</v>
      </c>
      <c r="C12" s="42" t="str">
        <f>VLOOKUP(A12,'Все требования'!$B$2:$B$170,1,FALSE)</f>
        <v>ДКБ-А-02</v>
      </c>
    </row>
    <row r="13" spans="1:3" ht="28">
      <c r="A13" s="40" t="s">
        <v>64</v>
      </c>
      <c r="B13" s="41" t="s">
        <v>65</v>
      </c>
      <c r="C13" s="42" t="str">
        <f>VLOOKUP(A13,'Все требования'!$B$2:$B$170,1,FALSE)</f>
        <v>ДКБ-А-04</v>
      </c>
    </row>
    <row r="14" spans="1:3">
      <c r="A14" s="40" t="s">
        <v>66</v>
      </c>
      <c r="B14" s="41" t="s">
        <v>67</v>
      </c>
      <c r="C14" s="42" t="str">
        <f>VLOOKUP(A14,'Все требования'!$B$2:$B$170,1,FALSE)</f>
        <v>ДКБ-А-05</v>
      </c>
    </row>
    <row r="15" spans="1:3">
      <c r="A15" s="40" t="s">
        <v>68</v>
      </c>
      <c r="B15" s="41" t="s">
        <v>69</v>
      </c>
      <c r="C15" s="42" t="str">
        <f>VLOOKUP(A15,'Все требования'!$B$2:$B$170,1,FALSE)</f>
        <v>ДКБ-А-06</v>
      </c>
    </row>
    <row r="16" spans="1:3">
      <c r="A16" s="40" t="s">
        <v>75</v>
      </c>
      <c r="B16" s="41" t="s">
        <v>76</v>
      </c>
      <c r="C16" s="42" t="str">
        <f>VLOOKUP(A16,'Все требования'!$B$2:$B$170,1,FALSE)</f>
        <v>ДКБ-А-09</v>
      </c>
    </row>
    <row r="17" spans="1:3" ht="28">
      <c r="A17" s="40" t="s">
        <v>83</v>
      </c>
      <c r="B17" s="41" t="s">
        <v>84</v>
      </c>
      <c r="C17" s="42" t="str">
        <f>VLOOKUP(A17,'Все требования'!$B$2:$B$170,1,FALSE)</f>
        <v>ДКБ-А-13</v>
      </c>
    </row>
    <row r="18" spans="1:3">
      <c r="A18" s="40" t="s">
        <v>87</v>
      </c>
      <c r="B18" s="41" t="s">
        <v>88</v>
      </c>
      <c r="C18" s="42" t="str">
        <f>VLOOKUP(A18,'Все требования'!$B$2:$B$170,1,FALSE)</f>
        <v>ДКБ-А-15</v>
      </c>
    </row>
    <row r="19" spans="1:3" ht="42">
      <c r="A19" s="40" t="s">
        <v>90</v>
      </c>
      <c r="B19" s="41" t="s">
        <v>91</v>
      </c>
      <c r="C19" s="42" t="str">
        <f>VLOOKUP(A19,'Все требования'!$B$2:$B$170,1,FALSE)</f>
        <v>ДКБ-С-01</v>
      </c>
    </row>
    <row r="20" spans="1:3">
      <c r="A20" s="40" t="s">
        <v>95</v>
      </c>
      <c r="B20" s="41" t="s">
        <v>96</v>
      </c>
      <c r="C20" s="42" t="str">
        <f>VLOOKUP(A20,'Все требования'!$B$2:$B$170,1,FALSE)</f>
        <v>ДКБ-С-03</v>
      </c>
    </row>
    <row r="21" spans="1:3">
      <c r="A21" s="40" t="s">
        <v>97</v>
      </c>
      <c r="B21" s="41" t="s">
        <v>98</v>
      </c>
      <c r="C21" s="42" t="str">
        <f>VLOOKUP(A21,'Все требования'!$B$2:$B$170,1,FALSE)</f>
        <v>ДКБ-С-04</v>
      </c>
    </row>
    <row r="22" spans="1:3">
      <c r="A22" s="40" t="s">
        <v>99</v>
      </c>
      <c r="B22" s="41" t="s">
        <v>100</v>
      </c>
      <c r="C22" s="42" t="str">
        <f>VLOOKUP(A22,'Все требования'!$B$2:$B$170,1,FALSE)</f>
        <v>ДКБ-С-05</v>
      </c>
    </row>
    <row r="23" spans="1:3">
      <c r="A23" s="40" t="s">
        <v>101</v>
      </c>
      <c r="B23" s="41" t="s">
        <v>102</v>
      </c>
      <c r="C23" s="42" t="str">
        <f>VLOOKUP(A23,'Все требования'!$B$2:$B$170,1,FALSE)</f>
        <v>ДКБ-С-06</v>
      </c>
    </row>
    <row r="24" spans="1:3">
      <c r="A24" s="40" t="s">
        <v>103</v>
      </c>
      <c r="B24" s="41" t="s">
        <v>104</v>
      </c>
      <c r="C24" s="42" t="str">
        <f>VLOOKUP(A24,'Все требования'!$B$2:$B$170,1,FALSE)</f>
        <v>ДКБ-С-07</v>
      </c>
    </row>
    <row r="25" spans="1:3">
      <c r="A25" s="40" t="s">
        <v>105</v>
      </c>
      <c r="B25" s="41" t="s">
        <v>106</v>
      </c>
      <c r="C25" s="29" t="str">
        <f>VLOOKUP(A25,'Все требования'!$B$2:$B$170,1,FALSE)</f>
        <v>ДКБ-С-08</v>
      </c>
    </row>
    <row r="26" spans="1:3">
      <c r="A26" s="40" t="s">
        <v>107</v>
      </c>
      <c r="B26" s="41" t="s">
        <v>108</v>
      </c>
      <c r="C26" s="29" t="str">
        <f>VLOOKUP(A26,'Все требования'!$B$2:$B$170,1,FALSE)</f>
        <v>ДКБ-С-09</v>
      </c>
    </row>
    <row r="27" spans="1:3">
      <c r="A27" s="40" t="s">
        <v>109</v>
      </c>
      <c r="B27" s="41" t="s">
        <v>110</v>
      </c>
      <c r="C27" s="29" t="str">
        <f>VLOOKUP(A27,'Все требования'!$B$2:$B$170,1,FALSE)</f>
        <v>ДКБ-С-10</v>
      </c>
    </row>
    <row r="28" spans="1:3">
      <c r="A28" s="40" t="s">
        <v>111</v>
      </c>
      <c r="B28" s="41" t="s">
        <v>112</v>
      </c>
      <c r="C28" s="29" t="str">
        <f>VLOOKUP(A28,'Все требования'!$B$2:$B$170,1,FALSE)</f>
        <v>ДКБ-С-11</v>
      </c>
    </row>
    <row r="29" spans="1:3">
      <c r="A29" s="40" t="s">
        <v>115</v>
      </c>
      <c r="B29" s="41" t="s">
        <v>116</v>
      </c>
      <c r="C29" s="29" t="str">
        <f>VLOOKUP(A29,'Все требования'!$B$2:$B$170,1,FALSE)</f>
        <v>ДКБ-С-13</v>
      </c>
    </row>
    <row r="30" spans="1:3">
      <c r="A30" s="40" t="s">
        <v>117</v>
      </c>
      <c r="B30" s="41" t="s">
        <v>118</v>
      </c>
      <c r="C30" s="29" t="str">
        <f>VLOOKUP(A30,'Все требования'!$B$2:$B$170,1,FALSE)</f>
        <v>ДКБ-С-14</v>
      </c>
    </row>
    <row r="31" spans="1:3">
      <c r="A31" s="40" t="s">
        <v>119</v>
      </c>
      <c r="B31" s="41" t="s">
        <v>120</v>
      </c>
      <c r="C31" s="29" t="str">
        <f>VLOOKUP(A31,'Все требования'!$B$2:$B$170,1,FALSE)</f>
        <v>ДКБ-С-15</v>
      </c>
    </row>
    <row r="32" spans="1:3">
      <c r="A32" s="40" t="s">
        <v>127</v>
      </c>
      <c r="B32" s="41" t="s">
        <v>128</v>
      </c>
      <c r="C32" s="29" t="str">
        <f>VLOOKUP(A32,'Все требования'!$B$2:$B$170,1,FALSE)</f>
        <v>ДКБ-С-19</v>
      </c>
    </row>
    <row r="33" spans="1:3">
      <c r="A33" s="40" t="s">
        <v>147</v>
      </c>
      <c r="B33" s="41" t="s">
        <v>148</v>
      </c>
      <c r="C33" s="29" t="str">
        <f>VLOOKUP(A33,'Все требования'!$B$2:$B$170,1,FALSE)</f>
        <v>ДКБ-С-28</v>
      </c>
    </row>
    <row r="34" spans="1:3">
      <c r="A34" s="40" t="s">
        <v>151</v>
      </c>
      <c r="B34" s="41" t="s">
        <v>152</v>
      </c>
      <c r="C34" s="29" t="str">
        <f>VLOOKUP(A34,'Все требования'!$B$2:$B$170,1,FALSE)</f>
        <v>ДКБ-С-30</v>
      </c>
    </row>
    <row r="35" spans="1:3">
      <c r="A35" s="40" t="s">
        <v>153</v>
      </c>
      <c r="B35" s="41" t="s">
        <v>154</v>
      </c>
      <c r="C35" s="29" t="str">
        <f>VLOOKUP(A35,'Все требования'!$B$2:$B$170,1,FALSE)</f>
        <v>ДКБ-С-31</v>
      </c>
    </row>
    <row r="36" spans="1:3" ht="28">
      <c r="A36" s="40" t="s">
        <v>155</v>
      </c>
      <c r="B36" s="41" t="s">
        <v>385</v>
      </c>
      <c r="C36" s="29" t="str">
        <f>VLOOKUP(A36,'Все требования'!$B$2:$B$170,1,FALSE)</f>
        <v>ДКБ-С-32</v>
      </c>
    </row>
    <row r="37" spans="1:3" ht="28">
      <c r="A37" s="40" t="s">
        <v>158</v>
      </c>
      <c r="B37" s="41" t="s">
        <v>159</v>
      </c>
      <c r="C37" s="29" t="str">
        <f>VLOOKUP(A37,'Все требования'!$B$2:$B$170,1,FALSE)</f>
        <v>ДКБ-С-33</v>
      </c>
    </row>
    <row r="38" spans="1:3">
      <c r="A38" s="40" t="s">
        <v>162</v>
      </c>
      <c r="B38" s="41" t="s">
        <v>163</v>
      </c>
      <c r="C38" s="29" t="str">
        <f>VLOOKUP(A38,'Все требования'!$B$2:$B$170,1,FALSE)</f>
        <v>ДКБ-ПКБ-01</v>
      </c>
    </row>
    <row r="39" spans="1:3" ht="28">
      <c r="A39" s="40" t="s">
        <v>164</v>
      </c>
      <c r="B39" s="41" t="s">
        <v>165</v>
      </c>
      <c r="C39" s="29" t="str">
        <f>VLOOKUP(A39,'Все требования'!$B$2:$B$170,1,FALSE)</f>
        <v>ДКБ-ПКБ-02</v>
      </c>
    </row>
    <row r="40" spans="1:3">
      <c r="A40" s="40" t="s">
        <v>166</v>
      </c>
      <c r="B40" s="41" t="s">
        <v>167</v>
      </c>
      <c r="C40" s="29" t="str">
        <f>VLOOKUP(A40,'Все требования'!$B$2:$B$170,1,FALSE)</f>
        <v>ДКБ-ПКБ-03</v>
      </c>
    </row>
    <row r="41" spans="1:3">
      <c r="A41" s="40" t="s">
        <v>168</v>
      </c>
      <c r="B41" s="41" t="s">
        <v>169</v>
      </c>
      <c r="C41" s="29" t="str">
        <f>VLOOKUP(A41,'Все требования'!$B$2:$B$170,1,FALSE)</f>
        <v>ДКБ-ПКБ-04</v>
      </c>
    </row>
    <row r="42" spans="1:3">
      <c r="A42" s="40" t="s">
        <v>170</v>
      </c>
      <c r="B42" s="41" t="s">
        <v>171</v>
      </c>
      <c r="C42" s="29" t="str">
        <f>VLOOKUP(A42,'Все требования'!$B$2:$B$170,1,FALSE)</f>
        <v>ДКБ-ПКБ-04.1</v>
      </c>
    </row>
    <row r="43" spans="1:3">
      <c r="A43" s="40" t="s">
        <v>172</v>
      </c>
      <c r="B43" s="41" t="s">
        <v>173</v>
      </c>
      <c r="C43" s="29" t="str">
        <f>VLOOKUP(A43,'Все требования'!$B$2:$B$170,1,FALSE)</f>
        <v>ДКБ-ПКБ-04.2</v>
      </c>
    </row>
    <row r="44" spans="1:3">
      <c r="A44" s="40" t="s">
        <v>174</v>
      </c>
      <c r="B44" s="41" t="s">
        <v>175</v>
      </c>
      <c r="C44" s="29" t="str">
        <f>VLOOKUP(A44,'Все требования'!$B$2:$B$170,1,FALSE)</f>
        <v>ДКБ-ПКБ-04.3</v>
      </c>
    </row>
    <row r="45" spans="1:3">
      <c r="A45" s="40" t="s">
        <v>176</v>
      </c>
      <c r="B45" s="41" t="s">
        <v>177</v>
      </c>
      <c r="C45" s="29" t="str">
        <f>VLOOKUP(A45,'Все требования'!$B$2:$B$170,1,FALSE)</f>
        <v>ДКБ-ПКБ-04.4</v>
      </c>
    </row>
    <row r="46" spans="1:3">
      <c r="A46" s="40" t="s">
        <v>178</v>
      </c>
      <c r="B46" s="41" t="s">
        <v>179</v>
      </c>
      <c r="C46" s="29" t="str">
        <f>VLOOKUP(A46,'Все требования'!$B$2:$B$170,1,FALSE)</f>
        <v>ДКБ-ПКБ-04.5</v>
      </c>
    </row>
    <row r="47" spans="1:3" ht="28">
      <c r="A47" s="40" t="s">
        <v>180</v>
      </c>
      <c r="B47" s="41" t="s">
        <v>181</v>
      </c>
      <c r="C47" s="29" t="str">
        <f>VLOOKUP(A47,'Все требования'!$B$2:$B$170,1,FALSE)</f>
        <v>ДКБ-ПКБ-04.6 (опционально)</v>
      </c>
    </row>
    <row r="48" spans="1:3">
      <c r="A48" s="40" t="s">
        <v>182</v>
      </c>
      <c r="B48" s="41" t="s">
        <v>183</v>
      </c>
      <c r="C48" s="29" t="str">
        <f>VLOOKUP(A48,'Все требования'!$B$2:$B$170,1,FALSE)</f>
        <v>ДКБ-ПКБ-04.7</v>
      </c>
    </row>
    <row r="49" spans="1:3">
      <c r="A49" s="40" t="s">
        <v>184</v>
      </c>
      <c r="B49" s="41" t="s">
        <v>185</v>
      </c>
      <c r="C49" s="29" t="str">
        <f>VLOOKUP(A49,'Все требования'!$B$2:$B$170,1,FALSE)</f>
        <v>ДКБ-ПКБ-04.8</v>
      </c>
    </row>
    <row r="50" spans="1:3">
      <c r="A50" s="40" t="s">
        <v>186</v>
      </c>
      <c r="B50" s="41" t="s">
        <v>187</v>
      </c>
      <c r="C50" s="29" t="str">
        <f>VLOOKUP(A50,'Все требования'!$B$2:$B$170,1,FALSE)</f>
        <v>ДКБ-ПКБ-05</v>
      </c>
    </row>
    <row r="51" spans="1:3">
      <c r="A51" s="40" t="s">
        <v>188</v>
      </c>
      <c r="B51" s="41" t="s">
        <v>189</v>
      </c>
      <c r="C51" s="29" t="str">
        <f>VLOOKUP(A51,'Все требования'!$B$2:$B$170,1,FALSE)</f>
        <v>ДКБ-ПКБ-05.1</v>
      </c>
    </row>
    <row r="52" spans="1:3">
      <c r="A52" s="40" t="s">
        <v>190</v>
      </c>
      <c r="B52" s="41" t="s">
        <v>191</v>
      </c>
      <c r="C52" s="29" t="str">
        <f>VLOOKUP(A52,'Все требования'!$B$2:$B$170,1,FALSE)</f>
        <v>ДКБ-ПКБ-05.2</v>
      </c>
    </row>
    <row r="53" spans="1:3">
      <c r="A53" s="40" t="s">
        <v>192</v>
      </c>
      <c r="B53" s="41" t="s">
        <v>193</v>
      </c>
      <c r="C53" s="29" t="str">
        <f>VLOOKUP(A53,'Все требования'!$B$2:$B$170,1,FALSE)</f>
        <v>ДКБ-ПКБ-05.3</v>
      </c>
    </row>
    <row r="54" spans="1:3">
      <c r="A54" s="40" t="s">
        <v>194</v>
      </c>
      <c r="B54" s="41" t="s">
        <v>195</v>
      </c>
      <c r="C54" s="29" t="str">
        <f>VLOOKUP(A54,'Все требования'!$B$2:$B$170,1,FALSE)</f>
        <v>ДКБ-ПКБ-05.4</v>
      </c>
    </row>
    <row r="55" spans="1:3">
      <c r="A55" s="40" t="s">
        <v>196</v>
      </c>
      <c r="B55" s="41" t="s">
        <v>197</v>
      </c>
      <c r="C55" s="29" t="str">
        <f>VLOOKUP(A55,'Все требования'!$B$2:$B$170,1,FALSE)</f>
        <v>ДКБ-ПКБ-05.5</v>
      </c>
    </row>
    <row r="56" spans="1:3">
      <c r="A56" s="40" t="s">
        <v>198</v>
      </c>
      <c r="B56" s="41" t="s">
        <v>199</v>
      </c>
      <c r="C56" s="29" t="str">
        <f>VLOOKUP(A56,'Все требования'!$B$2:$B$170,1,FALSE)</f>
        <v>ДКБ-ПКБ-05.6</v>
      </c>
    </row>
    <row r="57" spans="1:3">
      <c r="A57" s="40" t="s">
        <v>200</v>
      </c>
      <c r="B57" s="41" t="s">
        <v>201</v>
      </c>
      <c r="C57" s="29" t="str">
        <f>VLOOKUP(A57,'Все требования'!$B$2:$B$170,1,FALSE)</f>
        <v>ДКБ-ПКБ-05.7</v>
      </c>
    </row>
    <row r="58" spans="1:3">
      <c r="A58" s="40" t="s">
        <v>202</v>
      </c>
      <c r="B58" s="41" t="s">
        <v>203</v>
      </c>
      <c r="C58" s="29" t="str">
        <f>VLOOKUP(A58,'Все требования'!$B$2:$B$170,1,FALSE)</f>
        <v>ДКБ-ПКБ-05.8</v>
      </c>
    </row>
    <row r="59" spans="1:3">
      <c r="A59" s="40" t="s">
        <v>204</v>
      </c>
      <c r="B59" s="41" t="s">
        <v>205</v>
      </c>
      <c r="C59" s="29" t="str">
        <f>VLOOKUP(A59,'Все требования'!$B$2:$B$170,1,FALSE)</f>
        <v>ДКБ-ПКБ-05.9</v>
      </c>
    </row>
    <row r="60" spans="1:3" ht="28">
      <c r="A60" s="40" t="s">
        <v>206</v>
      </c>
      <c r="B60" s="41" t="s">
        <v>207</v>
      </c>
      <c r="C60" s="29" t="str">
        <f>VLOOKUP(A60,'Все требования'!$B$2:$B$170,1,FALSE)</f>
        <v>ДКБ-ПКБ-05.10</v>
      </c>
    </row>
    <row r="61" spans="1:3" ht="28">
      <c r="A61" s="40" t="s">
        <v>208</v>
      </c>
      <c r="B61" s="41" t="s">
        <v>209</v>
      </c>
      <c r="C61" s="29" t="str">
        <f>VLOOKUP(A61,'Все требования'!$B$2:$B$170,1,FALSE)</f>
        <v>ДКБ-ПКБ-05.11</v>
      </c>
    </row>
    <row r="62" spans="1:3" ht="28">
      <c r="A62" s="40" t="s">
        <v>210</v>
      </c>
      <c r="B62" s="41" t="s">
        <v>211</v>
      </c>
      <c r="C62" s="29" t="str">
        <f>VLOOKUP(A62,'Все требования'!$B$2:$B$170,1,FALSE)</f>
        <v>ДКБ-ПКБ-05.12</v>
      </c>
    </row>
    <row r="63" spans="1:3" ht="28">
      <c r="A63" s="40" t="s">
        <v>212</v>
      </c>
      <c r="B63" s="41" t="s">
        <v>213</v>
      </c>
      <c r="C63" s="29" t="str">
        <f>VLOOKUP(A63,'Все требования'!$B$2:$B$170,1,FALSE)</f>
        <v>ДКБ-ПКБ-05.13</v>
      </c>
    </row>
    <row r="64" spans="1:3" ht="28">
      <c r="A64" s="40" t="s">
        <v>214</v>
      </c>
      <c r="B64" s="41" t="s">
        <v>215</v>
      </c>
      <c r="C64" s="29" t="str">
        <f>VLOOKUP(A64,'Все требования'!$B$2:$B$170,1,FALSE)</f>
        <v>ДКБ-ПКБ-05.14</v>
      </c>
    </row>
    <row r="65" spans="1:3" ht="28">
      <c r="A65" s="40" t="s">
        <v>216</v>
      </c>
      <c r="B65" s="41" t="s">
        <v>217</v>
      </c>
      <c r="C65" s="29" t="str">
        <f>VLOOKUP(A65,'Все требования'!$B$2:$B$170,1,FALSE)</f>
        <v>ДКБ-ПКБ-05.15</v>
      </c>
    </row>
    <row r="66" spans="1:3" ht="28">
      <c r="A66" s="40" t="s">
        <v>218</v>
      </c>
      <c r="B66" s="41" t="s">
        <v>219</v>
      </c>
      <c r="C66" s="29" t="str">
        <f>VLOOKUP(A66,'Все требования'!$B$2:$B$170,1,FALSE)</f>
        <v>ДКБ-ПКБ-05.16</v>
      </c>
    </row>
    <row r="67" spans="1:3" ht="28">
      <c r="A67" s="40" t="s">
        <v>220</v>
      </c>
      <c r="B67" s="41" t="s">
        <v>221</v>
      </c>
      <c r="C67" s="29" t="str">
        <f>VLOOKUP(A67,'Все требования'!$B$2:$B$170,1,FALSE)</f>
        <v>ДКБ-ПКБ-05.17</v>
      </c>
    </row>
    <row r="68" spans="1:3" ht="28">
      <c r="A68" s="40" t="s">
        <v>222</v>
      </c>
      <c r="B68" s="41" t="s">
        <v>213</v>
      </c>
      <c r="C68" s="29" t="str">
        <f>VLOOKUP(A68,'Все требования'!$B$2:$B$170,1,FALSE)</f>
        <v>ДКБ-ПКБ-05.18</v>
      </c>
    </row>
    <row r="69" spans="1:3" ht="28">
      <c r="A69" s="40" t="s">
        <v>223</v>
      </c>
      <c r="B69" s="41" t="s">
        <v>215</v>
      </c>
      <c r="C69" s="29" t="str">
        <f>VLOOKUP(A69,'Все требования'!$B$2:$B$170,1,FALSE)</f>
        <v>ДКБ-ПКБ-05.19</v>
      </c>
    </row>
    <row r="70" spans="1:3" ht="28">
      <c r="A70" s="40" t="s">
        <v>224</v>
      </c>
      <c r="B70" s="41" t="s">
        <v>225</v>
      </c>
      <c r="C70" s="29" t="str">
        <f>VLOOKUP(A70,'Все требования'!$B$2:$B$170,1,FALSE)</f>
        <v>ДКБ-ПКБ-05.20</v>
      </c>
    </row>
    <row r="71" spans="1:3" ht="28">
      <c r="A71" s="40" t="s">
        <v>226</v>
      </c>
      <c r="B71" s="41" t="s">
        <v>227</v>
      </c>
      <c r="C71" s="29" t="str">
        <f>VLOOKUP(A71,'Все требования'!$B$2:$B$170,1,FALSE)</f>
        <v>ДКБ-ПКБ-05.21</v>
      </c>
    </row>
    <row r="72" spans="1:3" ht="28">
      <c r="A72" s="40" t="s">
        <v>228</v>
      </c>
      <c r="B72" s="41" t="s">
        <v>229</v>
      </c>
      <c r="C72" s="29" t="str">
        <f>VLOOKUP(A72,'Все требования'!$B$2:$B$170,1,FALSE)</f>
        <v>ДКБ-ПКБ-05.22</v>
      </c>
    </row>
    <row r="73" spans="1:3">
      <c r="A73" s="40" t="s">
        <v>230</v>
      </c>
      <c r="B73" s="41" t="s">
        <v>231</v>
      </c>
      <c r="C73" s="29" t="str">
        <f>VLOOKUP(A73,'Все требования'!$B$2:$B$170,1,FALSE)</f>
        <v>ДКБ-ПКБ-06</v>
      </c>
    </row>
    <row r="74" spans="1:3">
      <c r="A74" s="40" t="s">
        <v>232</v>
      </c>
      <c r="B74" s="41" t="s">
        <v>233</v>
      </c>
      <c r="C74" s="29" t="str">
        <f>VLOOKUP(A74,'Все требования'!$B$2:$B$170,1,FALSE)</f>
        <v>ДКБ-ПКБ-07</v>
      </c>
    </row>
    <row r="75" spans="1:3">
      <c r="A75" s="40" t="s">
        <v>234</v>
      </c>
      <c r="B75" s="41" t="s">
        <v>235</v>
      </c>
      <c r="C75" s="29" t="str">
        <f>VLOOKUP(A75,'Все требования'!$B$2:$B$170,1,FALSE)</f>
        <v>ДКБ-ПКБ-08</v>
      </c>
    </row>
    <row r="76" spans="1:3" ht="28">
      <c r="A76" s="40" t="s">
        <v>241</v>
      </c>
      <c r="B76" s="41" t="s">
        <v>242</v>
      </c>
      <c r="C76" s="29" t="str">
        <f>VLOOKUP(A76,'Все требования'!$B$2:$B$170,1,FALSE)</f>
        <v>ДКБ-ПКБ-11</v>
      </c>
    </row>
    <row r="77" spans="1:3" ht="28">
      <c r="A77" s="40" t="s">
        <v>250</v>
      </c>
      <c r="B77" s="41" t="s">
        <v>251</v>
      </c>
      <c r="C77" s="29" t="str">
        <f>VLOOKUP(A77,'Все требования'!$B$2:$B$170,1,FALSE)</f>
        <v>ДКБ-ПКБ-15</v>
      </c>
    </row>
    <row r="78" spans="1:3">
      <c r="A78" s="40" t="s">
        <v>252</v>
      </c>
      <c r="B78" s="41" t="s">
        <v>253</v>
      </c>
      <c r="C78" s="29" t="str">
        <f>VLOOKUP(A78,'Все требования'!$B$2:$B$170,1,FALSE)</f>
        <v>ДКБ-ПКБ-16</v>
      </c>
    </row>
    <row r="79" spans="1:3">
      <c r="A79" s="40" t="s">
        <v>254</v>
      </c>
      <c r="B79" s="41" t="s">
        <v>255</v>
      </c>
      <c r="C79" s="29" t="str">
        <f>VLOOKUP(A79,'Все требования'!$B$2:$B$170,1,FALSE)</f>
        <v>ДКБ-ЗСО-01</v>
      </c>
    </row>
    <row r="80" spans="1:3">
      <c r="A80" s="40" t="s">
        <v>257</v>
      </c>
      <c r="B80" s="41" t="s">
        <v>258</v>
      </c>
      <c r="C80" s="29" t="str">
        <f>VLOOKUP(A80,'Все требования'!$B$2:$B$170,1,FALSE)</f>
        <v>ДКБ-ЗСО-02</v>
      </c>
    </row>
    <row r="81" spans="1:3">
      <c r="A81" s="40" t="s">
        <v>259</v>
      </c>
      <c r="B81" s="41" t="s">
        <v>260</v>
      </c>
      <c r="C81" s="29" t="str">
        <f>VLOOKUP(A81,'Все требования'!$B$2:$B$170,1,FALSE)</f>
        <v>ДКБ-ЗСО-03</v>
      </c>
    </row>
    <row r="82" spans="1:3" ht="28">
      <c r="A82" s="40" t="s">
        <v>261</v>
      </c>
      <c r="B82" s="41" t="s">
        <v>262</v>
      </c>
      <c r="C82" s="29" t="str">
        <f>VLOOKUP(A82,'Все требования'!$B$2:$B$170,1,FALSE)</f>
        <v>ДКБ-ЗСО-04</v>
      </c>
    </row>
    <row r="83" spans="1:3" ht="42">
      <c r="A83" s="40" t="s">
        <v>263</v>
      </c>
      <c r="B83" s="41" t="s">
        <v>403</v>
      </c>
      <c r="C83" s="29" t="str">
        <f>VLOOKUP(A83,'Все требования'!$B$2:$B$170,1,FALSE)</f>
        <v>ДКБ-ЗСО-05</v>
      </c>
    </row>
    <row r="84" spans="1:3">
      <c r="A84" s="40" t="s">
        <v>265</v>
      </c>
      <c r="B84" s="41" t="s">
        <v>266</v>
      </c>
      <c r="C84" s="29" t="str">
        <f>VLOOKUP(A84,'Все требования'!$B$2:$B$170,1,FALSE)</f>
        <v>ДКБ-ЗСО-06</v>
      </c>
    </row>
    <row r="85" spans="1:3" ht="84">
      <c r="A85" s="40" t="s">
        <v>267</v>
      </c>
      <c r="B85" s="41" t="s">
        <v>404</v>
      </c>
      <c r="C85" s="29" t="str">
        <f>VLOOKUP(A85,'Все требования'!$B$2:$B$170,1,FALSE)</f>
        <v>ДКБ-ЗСО-07</v>
      </c>
    </row>
    <row r="86" spans="1:3" ht="98">
      <c r="A86" s="40" t="s">
        <v>270</v>
      </c>
      <c r="B86" s="41" t="s">
        <v>405</v>
      </c>
      <c r="C86" s="29" t="str">
        <f>VLOOKUP(A86,'Все требования'!$B$2:$B$170,1,FALSE)</f>
        <v>ДКБ-ЗСО-08</v>
      </c>
    </row>
    <row r="87" spans="1:3">
      <c r="A87" s="40" t="s">
        <v>273</v>
      </c>
      <c r="B87" s="41" t="s">
        <v>274</v>
      </c>
      <c r="C87" s="29" t="str">
        <f>VLOOKUP(A87,'Все требования'!$B$2:$B$170,1,FALSE)</f>
        <v>ДКБ-ЗСО-09</v>
      </c>
    </row>
    <row r="88" spans="1:3">
      <c r="A88" s="40" t="s">
        <v>281</v>
      </c>
      <c r="B88" s="41" t="s">
        <v>282</v>
      </c>
      <c r="C88" s="29" t="str">
        <f>VLOOKUP(A88,'Все требования'!$B$2:$B$170,1,FALSE)</f>
        <v>ДКБ-ЗСО-13</v>
      </c>
    </row>
    <row r="89" spans="1:3">
      <c r="A89" s="40" t="s">
        <v>297</v>
      </c>
      <c r="B89" s="41" t="s">
        <v>298</v>
      </c>
      <c r="C89" s="29" t="str">
        <f>VLOOKUP(A89,'Все требования'!$B$2:$B$170,1,FALSE)</f>
        <v>ДКБ-ЗСО-16.5</v>
      </c>
    </row>
    <row r="90" spans="1:3" ht="28">
      <c r="A90" s="40" t="s">
        <v>299</v>
      </c>
      <c r="B90" s="41" t="s">
        <v>406</v>
      </c>
      <c r="C90" s="29" t="str">
        <f>VLOOKUP(A90,'Все требования'!$B$2:$B$170,1,FALSE)</f>
        <v>ДКБ-ЗСО-16.6</v>
      </c>
    </row>
    <row r="91" spans="1:3" ht="28">
      <c r="A91" s="40" t="s">
        <v>305</v>
      </c>
      <c r="B91" s="41" t="s">
        <v>407</v>
      </c>
      <c r="C91" s="29" t="str">
        <f>VLOOKUP(A91,'Все требования'!$B$2:$B$170,1,FALSE)</f>
        <v>ДКБ-ЗСО-16.9</v>
      </c>
    </row>
    <row r="92" spans="1:3" ht="42">
      <c r="A92" s="40" t="s">
        <v>309</v>
      </c>
      <c r="B92" s="41" t="s">
        <v>408</v>
      </c>
      <c r="C92" s="29" t="str">
        <f>VLOOKUP(A92,'Все требования'!$B$2:$B$170,1,FALSE)</f>
        <v>ДКБ-ЗСО-16.11</v>
      </c>
    </row>
    <row r="93" spans="1:3">
      <c r="A93" s="40" t="s">
        <v>315</v>
      </c>
      <c r="B93" s="41" t="s">
        <v>316</v>
      </c>
      <c r="C93" s="29" t="str">
        <f>VLOOKUP(A93,'Все требования'!$B$2:$B$170,1,FALSE)</f>
        <v>ДКБ-SEC-01</v>
      </c>
    </row>
    <row r="94" spans="1:3" ht="28">
      <c r="A94" s="40" t="s">
        <v>317</v>
      </c>
      <c r="B94" s="41" t="s">
        <v>318</v>
      </c>
      <c r="C94" s="29" t="str">
        <f>VLOOKUP(A94,'Все требования'!$B$2:$B$170,1,FALSE)</f>
        <v>ДКБ-SEC-02</v>
      </c>
    </row>
    <row r="95" spans="1:3" ht="28">
      <c r="A95" s="40" t="s">
        <v>319</v>
      </c>
      <c r="B95" s="41" t="s">
        <v>320</v>
      </c>
      <c r="C95" s="29" t="str">
        <f>VLOOKUP(A95,'Все требования'!$B$2:$B$170,1,FALSE)</f>
        <v>ДКБ-SEC-03</v>
      </c>
    </row>
    <row r="96" spans="1:3" ht="28">
      <c r="A96" s="40" t="s">
        <v>322</v>
      </c>
      <c r="B96" s="41" t="s">
        <v>323</v>
      </c>
      <c r="C96" s="29" t="str">
        <f>VLOOKUP(A96,'Все требования'!$B$2:$B$170,1,FALSE)</f>
        <v>ДКБ-ИНТ-01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63"/>
  <sheetViews>
    <sheetView topLeftCell="A147" workbookViewId="0"/>
  </sheetViews>
  <sheetFormatPr baseColWidth="10" defaultColWidth="9" defaultRowHeight="14"/>
  <cols>
    <col min="1" max="1" width="3" style="2" customWidth="1"/>
    <col min="2" max="2" width="12.6640625" style="2" customWidth="1"/>
    <col min="3" max="3" width="88.6640625" style="2" customWidth="1"/>
    <col min="4" max="4" width="42.5" style="2" customWidth="1"/>
    <col min="5" max="5" width="9.1640625" style="2" bestFit="1" customWidth="1"/>
    <col min="6" max="6" width="23.83203125" style="2" customWidth="1"/>
    <col min="7" max="16384" width="9" style="2"/>
  </cols>
  <sheetData>
    <row r="2" spans="2:6" ht="28">
      <c r="B2" s="43" t="s">
        <v>1</v>
      </c>
      <c r="C2" s="44" t="s">
        <v>2</v>
      </c>
      <c r="D2" s="45" t="s">
        <v>3</v>
      </c>
      <c r="E2" s="46" t="s">
        <v>409</v>
      </c>
      <c r="F2" s="44" t="s">
        <v>9</v>
      </c>
    </row>
    <row r="3" spans="2:6" ht="45">
      <c r="B3" s="47" t="s">
        <v>12</v>
      </c>
      <c r="C3" s="48" t="s">
        <v>13</v>
      </c>
      <c r="D3" s="47" t="s">
        <v>14</v>
      </c>
      <c r="E3" s="9" t="s">
        <v>15</v>
      </c>
      <c r="F3" s="26"/>
    </row>
    <row r="4" spans="2:6" ht="30">
      <c r="B4" s="47" t="s">
        <v>16</v>
      </c>
      <c r="C4" s="48" t="s">
        <v>399</v>
      </c>
      <c r="D4" s="47" t="s">
        <v>14</v>
      </c>
      <c r="E4" s="9" t="s">
        <v>62</v>
      </c>
      <c r="F4" s="26"/>
    </row>
    <row r="5" spans="2:6" ht="30">
      <c r="B5" s="47" t="s">
        <v>19</v>
      </c>
      <c r="C5" s="48" t="s">
        <v>20</v>
      </c>
      <c r="D5" s="47" t="s">
        <v>14</v>
      </c>
      <c r="E5" s="9" t="s">
        <v>21</v>
      </c>
      <c r="F5" s="26"/>
    </row>
    <row r="6" spans="2:6" ht="15">
      <c r="B6" s="47" t="s">
        <v>22</v>
      </c>
      <c r="C6" s="48" t="s">
        <v>23</v>
      </c>
      <c r="D6" s="47" t="s">
        <v>14</v>
      </c>
      <c r="E6" s="9" t="s">
        <v>21</v>
      </c>
      <c r="F6" s="26"/>
    </row>
    <row r="7" spans="2:6" ht="30">
      <c r="B7" s="47" t="s">
        <v>24</v>
      </c>
      <c r="C7" s="48" t="s">
        <v>25</v>
      </c>
      <c r="D7" s="47" t="s">
        <v>14</v>
      </c>
      <c r="E7" s="9" t="s">
        <v>15</v>
      </c>
      <c r="F7" s="26"/>
    </row>
    <row r="8" spans="2:6" ht="15">
      <c r="B8" s="47" t="s">
        <v>27</v>
      </c>
      <c r="C8" s="48" t="s">
        <v>28</v>
      </c>
      <c r="D8" s="47" t="s">
        <v>14</v>
      </c>
      <c r="E8" s="9" t="s">
        <v>15</v>
      </c>
      <c r="F8" s="26"/>
    </row>
    <row r="9" spans="2:6" ht="15">
      <c r="B9" s="47" t="s">
        <v>30</v>
      </c>
      <c r="C9" s="48" t="s">
        <v>31</v>
      </c>
      <c r="D9" s="47" t="s">
        <v>14</v>
      </c>
      <c r="E9" s="9" t="s">
        <v>15</v>
      </c>
      <c r="F9" s="26"/>
    </row>
    <row r="10" spans="2:6" ht="30">
      <c r="B10" s="47" t="s">
        <v>32</v>
      </c>
      <c r="C10" s="48" t="s">
        <v>33</v>
      </c>
      <c r="D10" s="47" t="s">
        <v>14</v>
      </c>
      <c r="E10" s="9" t="s">
        <v>62</v>
      </c>
      <c r="F10" s="26" t="s">
        <v>34</v>
      </c>
    </row>
    <row r="11" spans="2:6" ht="30">
      <c r="B11" s="47" t="s">
        <v>35</v>
      </c>
      <c r="C11" s="48" t="s">
        <v>36</v>
      </c>
      <c r="D11" s="47" t="s">
        <v>14</v>
      </c>
      <c r="E11" s="9" t="s">
        <v>15</v>
      </c>
      <c r="F11" s="26" t="s">
        <v>410</v>
      </c>
    </row>
    <row r="12" spans="2:6" ht="30">
      <c r="B12" s="47" t="s">
        <v>39</v>
      </c>
      <c r="C12" s="48" t="s">
        <v>40</v>
      </c>
      <c r="D12" s="47" t="s">
        <v>14</v>
      </c>
      <c r="E12" s="9" t="s">
        <v>21</v>
      </c>
      <c r="F12" s="26"/>
    </row>
    <row r="13" spans="2:6" ht="30">
      <c r="B13" s="47" t="s">
        <v>41</v>
      </c>
      <c r="C13" s="48" t="s">
        <v>42</v>
      </c>
      <c r="D13" s="47" t="s">
        <v>14</v>
      </c>
      <c r="E13" s="9" t="s">
        <v>21</v>
      </c>
      <c r="F13" s="26"/>
    </row>
    <row r="14" spans="2:6" ht="45">
      <c r="B14" s="47" t="s">
        <v>43</v>
      </c>
      <c r="C14" s="48" t="s">
        <v>44</v>
      </c>
      <c r="D14" s="47" t="s">
        <v>14</v>
      </c>
      <c r="E14" s="9" t="s">
        <v>15</v>
      </c>
      <c r="F14" s="26" t="s">
        <v>45</v>
      </c>
    </row>
    <row r="15" spans="2:6" ht="45">
      <c r="B15" s="47" t="s">
        <v>46</v>
      </c>
      <c r="C15" s="48" t="s">
        <v>411</v>
      </c>
      <c r="D15" s="47" t="s">
        <v>14</v>
      </c>
      <c r="E15" s="9" t="s">
        <v>15</v>
      </c>
      <c r="F15" s="26"/>
    </row>
    <row r="16" spans="2:6" ht="60">
      <c r="B16" s="47" t="s">
        <v>48</v>
      </c>
      <c r="C16" s="48" t="s">
        <v>412</v>
      </c>
      <c r="D16" s="47" t="s">
        <v>14</v>
      </c>
      <c r="E16" s="9" t="s">
        <v>15</v>
      </c>
      <c r="F16" s="26"/>
    </row>
    <row r="17" spans="2:6" ht="195">
      <c r="B17" s="47" t="s">
        <v>50</v>
      </c>
      <c r="C17" s="48" t="s">
        <v>413</v>
      </c>
      <c r="D17" s="47" t="s">
        <v>14</v>
      </c>
      <c r="E17" s="9" t="s">
        <v>15</v>
      </c>
      <c r="F17" s="26"/>
    </row>
    <row r="18" spans="2:6" ht="30">
      <c r="B18" s="47" t="s">
        <v>52</v>
      </c>
      <c r="C18" s="48" t="s">
        <v>53</v>
      </c>
      <c r="D18" s="47" t="s">
        <v>14</v>
      </c>
      <c r="E18" s="9" t="s">
        <v>21</v>
      </c>
      <c r="F18" s="26"/>
    </row>
    <row r="19" spans="2:6" ht="30">
      <c r="B19" s="47" t="s">
        <v>55</v>
      </c>
      <c r="C19" s="48" t="s">
        <v>56</v>
      </c>
      <c r="D19" s="47" t="s">
        <v>14</v>
      </c>
      <c r="E19" s="9" t="s">
        <v>62</v>
      </c>
      <c r="F19" s="26" t="s">
        <v>414</v>
      </c>
    </row>
    <row r="20" spans="2:6" ht="30">
      <c r="B20" s="47" t="s">
        <v>58</v>
      </c>
      <c r="C20" s="48" t="s">
        <v>59</v>
      </c>
      <c r="D20" s="47" t="s">
        <v>14</v>
      </c>
      <c r="E20" s="9" t="s">
        <v>15</v>
      </c>
      <c r="F20" s="26"/>
    </row>
    <row r="21" spans="2:6" ht="30">
      <c r="B21" s="47" t="s">
        <v>60</v>
      </c>
      <c r="C21" s="48" t="s">
        <v>61</v>
      </c>
      <c r="D21" s="47" t="s">
        <v>14</v>
      </c>
      <c r="E21" s="9" t="s">
        <v>62</v>
      </c>
      <c r="F21" s="26"/>
    </row>
    <row r="22" spans="2:6" ht="30">
      <c r="B22" s="47" t="s">
        <v>64</v>
      </c>
      <c r="C22" s="48" t="s">
        <v>65</v>
      </c>
      <c r="D22" s="47" t="s">
        <v>14</v>
      </c>
      <c r="E22" s="9" t="s">
        <v>15</v>
      </c>
      <c r="F22" s="26"/>
    </row>
    <row r="23" spans="2:6" ht="15">
      <c r="B23" s="47" t="s">
        <v>66</v>
      </c>
      <c r="C23" s="48" t="s">
        <v>67</v>
      </c>
      <c r="D23" s="47" t="s">
        <v>14</v>
      </c>
      <c r="E23" s="9" t="s">
        <v>15</v>
      </c>
      <c r="F23" s="26"/>
    </row>
    <row r="24" spans="2:6" ht="15">
      <c r="B24" s="47" t="s">
        <v>68</v>
      </c>
      <c r="C24" s="48" t="s">
        <v>69</v>
      </c>
      <c r="D24" s="47" t="s">
        <v>14</v>
      </c>
      <c r="E24" s="9" t="s">
        <v>15</v>
      </c>
      <c r="F24" s="26"/>
    </row>
    <row r="25" spans="2:6" ht="30">
      <c r="B25" s="47" t="s">
        <v>70</v>
      </c>
      <c r="C25" s="48" t="s">
        <v>71</v>
      </c>
      <c r="D25" s="47" t="s">
        <v>14</v>
      </c>
      <c r="E25" s="9" t="s">
        <v>62</v>
      </c>
      <c r="F25" s="26" t="s">
        <v>160</v>
      </c>
    </row>
    <row r="26" spans="2:6" ht="45">
      <c r="B26" s="47" t="s">
        <v>73</v>
      </c>
      <c r="C26" s="48" t="s">
        <v>74</v>
      </c>
      <c r="D26" s="47" t="s">
        <v>14</v>
      </c>
      <c r="E26" s="9" t="s">
        <v>15</v>
      </c>
      <c r="F26" s="26"/>
    </row>
    <row r="27" spans="2:6" ht="30">
      <c r="B27" s="47" t="s">
        <v>75</v>
      </c>
      <c r="C27" s="48" t="s">
        <v>76</v>
      </c>
      <c r="D27" s="47" t="s">
        <v>14</v>
      </c>
      <c r="E27" s="9" t="s">
        <v>15</v>
      </c>
      <c r="F27" s="26"/>
    </row>
    <row r="28" spans="2:6" ht="30">
      <c r="B28" s="47" t="s">
        <v>77</v>
      </c>
      <c r="C28" s="48" t="s">
        <v>78</v>
      </c>
      <c r="D28" s="47" t="s">
        <v>14</v>
      </c>
      <c r="E28" s="9" t="s">
        <v>21</v>
      </c>
      <c r="F28" s="26"/>
    </row>
    <row r="29" spans="2:6" ht="45">
      <c r="B29" s="47" t="s">
        <v>79</v>
      </c>
      <c r="C29" s="48" t="s">
        <v>80</v>
      </c>
      <c r="D29" s="47" t="s">
        <v>14</v>
      </c>
      <c r="E29" s="9" t="s">
        <v>21</v>
      </c>
      <c r="F29" s="26"/>
    </row>
    <row r="30" spans="2:6" ht="30">
      <c r="B30" s="47" t="s">
        <v>81</v>
      </c>
      <c r="C30" s="48" t="s">
        <v>82</v>
      </c>
      <c r="D30" s="47" t="s">
        <v>14</v>
      </c>
      <c r="E30" s="9" t="s">
        <v>21</v>
      </c>
      <c r="F30" s="26"/>
    </row>
    <row r="31" spans="2:6" ht="30">
      <c r="B31" s="47" t="s">
        <v>83</v>
      </c>
      <c r="C31" s="48" t="s">
        <v>84</v>
      </c>
      <c r="D31" s="47" t="s">
        <v>14</v>
      </c>
      <c r="E31" s="9" t="s">
        <v>15</v>
      </c>
      <c r="F31" s="26"/>
    </row>
    <row r="32" spans="2:6" ht="75">
      <c r="B32" s="47" t="s">
        <v>85</v>
      </c>
      <c r="C32" s="48" t="s">
        <v>86</v>
      </c>
      <c r="D32" s="47" t="s">
        <v>14</v>
      </c>
      <c r="E32" s="9" t="s">
        <v>21</v>
      </c>
      <c r="F32" s="26"/>
    </row>
    <row r="33" spans="2:6" ht="30">
      <c r="B33" s="47" t="s">
        <v>87</v>
      </c>
      <c r="C33" s="48" t="s">
        <v>88</v>
      </c>
      <c r="D33" s="47" t="s">
        <v>14</v>
      </c>
      <c r="E33" s="9" t="s">
        <v>15</v>
      </c>
      <c r="F33" s="26"/>
    </row>
    <row r="34" spans="2:6" ht="60">
      <c r="B34" s="47" t="s">
        <v>90</v>
      </c>
      <c r="C34" s="48" t="s">
        <v>91</v>
      </c>
      <c r="D34" s="47" t="s">
        <v>14</v>
      </c>
      <c r="E34" s="9" t="s">
        <v>15</v>
      </c>
      <c r="F34" s="26"/>
    </row>
    <row r="35" spans="2:6" ht="30">
      <c r="B35" s="47" t="s">
        <v>92</v>
      </c>
      <c r="C35" s="48" t="s">
        <v>93</v>
      </c>
      <c r="D35" s="47" t="s">
        <v>14</v>
      </c>
      <c r="E35" s="9" t="s">
        <v>62</v>
      </c>
      <c r="F35" s="26" t="s">
        <v>415</v>
      </c>
    </row>
    <row r="36" spans="2:6" ht="30">
      <c r="B36" s="47" t="s">
        <v>95</v>
      </c>
      <c r="C36" s="48" t="s">
        <v>96</v>
      </c>
      <c r="D36" s="47" t="s">
        <v>14</v>
      </c>
      <c r="E36" s="9" t="s">
        <v>15</v>
      </c>
      <c r="F36" s="26"/>
    </row>
    <row r="37" spans="2:6" ht="15">
      <c r="B37" s="47" t="s">
        <v>97</v>
      </c>
      <c r="C37" s="48" t="s">
        <v>98</v>
      </c>
      <c r="D37" s="47" t="s">
        <v>14</v>
      </c>
      <c r="E37" s="9" t="s">
        <v>15</v>
      </c>
      <c r="F37" s="26"/>
    </row>
    <row r="38" spans="2:6" ht="15">
      <c r="B38" s="47" t="s">
        <v>99</v>
      </c>
      <c r="C38" s="48" t="s">
        <v>100</v>
      </c>
      <c r="D38" s="47" t="s">
        <v>14</v>
      </c>
      <c r="E38" s="9" t="s">
        <v>15</v>
      </c>
      <c r="F38" s="26"/>
    </row>
    <row r="39" spans="2:6" ht="30">
      <c r="B39" s="47" t="s">
        <v>101</v>
      </c>
      <c r="C39" s="48" t="s">
        <v>102</v>
      </c>
      <c r="D39" s="47" t="s">
        <v>14</v>
      </c>
      <c r="E39" s="9" t="s">
        <v>15</v>
      </c>
      <c r="F39" s="26"/>
    </row>
    <row r="40" spans="2:6" ht="30">
      <c r="B40" s="47" t="s">
        <v>103</v>
      </c>
      <c r="C40" s="48" t="s">
        <v>104</v>
      </c>
      <c r="D40" s="47" t="s">
        <v>14</v>
      </c>
      <c r="E40" s="9" t="s">
        <v>15</v>
      </c>
      <c r="F40" s="26"/>
    </row>
    <row r="41" spans="2:6" ht="15">
      <c r="B41" s="47" t="s">
        <v>105</v>
      </c>
      <c r="C41" s="48" t="s">
        <v>106</v>
      </c>
      <c r="D41" s="47" t="s">
        <v>14</v>
      </c>
      <c r="E41" s="9" t="s">
        <v>15</v>
      </c>
      <c r="F41" s="26"/>
    </row>
    <row r="42" spans="2:6" ht="15">
      <c r="B42" s="47" t="s">
        <v>107</v>
      </c>
      <c r="C42" s="48" t="s">
        <v>108</v>
      </c>
      <c r="D42" s="47" t="s">
        <v>14</v>
      </c>
      <c r="E42" s="9" t="s">
        <v>15</v>
      </c>
      <c r="F42" s="26"/>
    </row>
    <row r="43" spans="2:6" ht="15">
      <c r="B43" s="47" t="s">
        <v>109</v>
      </c>
      <c r="C43" s="48" t="s">
        <v>110</v>
      </c>
      <c r="D43" s="47" t="s">
        <v>14</v>
      </c>
      <c r="E43" s="9" t="s">
        <v>15</v>
      </c>
      <c r="F43" s="26"/>
    </row>
    <row r="44" spans="2:6" ht="15">
      <c r="B44" s="47" t="s">
        <v>111</v>
      </c>
      <c r="C44" s="48" t="s">
        <v>112</v>
      </c>
      <c r="D44" s="47" t="s">
        <v>14</v>
      </c>
      <c r="E44" s="9" t="s">
        <v>15</v>
      </c>
      <c r="F44" s="26"/>
    </row>
    <row r="45" spans="2:6" ht="30">
      <c r="B45" s="47" t="s">
        <v>113</v>
      </c>
      <c r="C45" s="48" t="s">
        <v>114</v>
      </c>
      <c r="D45" s="47" t="s">
        <v>14</v>
      </c>
      <c r="E45" s="9" t="s">
        <v>21</v>
      </c>
      <c r="F45" s="26"/>
    </row>
    <row r="46" spans="2:6" ht="30">
      <c r="B46" s="47" t="s">
        <v>115</v>
      </c>
      <c r="C46" s="48" t="s">
        <v>116</v>
      </c>
      <c r="D46" s="47" t="s">
        <v>14</v>
      </c>
      <c r="E46" s="9" t="s">
        <v>15</v>
      </c>
      <c r="F46" s="26"/>
    </row>
    <row r="47" spans="2:6" ht="30">
      <c r="B47" s="47" t="s">
        <v>117</v>
      </c>
      <c r="C47" s="48" t="s">
        <v>118</v>
      </c>
      <c r="D47" s="47" t="s">
        <v>14</v>
      </c>
      <c r="E47" s="9" t="s">
        <v>15</v>
      </c>
      <c r="F47" s="26"/>
    </row>
    <row r="48" spans="2:6" ht="30">
      <c r="B48" s="47" t="s">
        <v>119</v>
      </c>
      <c r="C48" s="48" t="s">
        <v>120</v>
      </c>
      <c r="D48" s="47" t="s">
        <v>14</v>
      </c>
      <c r="E48" s="9" t="s">
        <v>15</v>
      </c>
      <c r="F48" s="26"/>
    </row>
    <row r="49" spans="2:6" ht="30">
      <c r="B49" s="47" t="s">
        <v>121</v>
      </c>
      <c r="C49" s="48" t="s">
        <v>122</v>
      </c>
      <c r="D49" s="47" t="s">
        <v>14</v>
      </c>
      <c r="E49" s="9" t="s">
        <v>15</v>
      </c>
      <c r="F49" s="26"/>
    </row>
    <row r="50" spans="2:6" ht="15">
      <c r="B50" s="47" t="s">
        <v>123</v>
      </c>
      <c r="C50" s="48" t="s">
        <v>124</v>
      </c>
      <c r="D50" s="47" t="s">
        <v>14</v>
      </c>
      <c r="E50" s="9" t="s">
        <v>21</v>
      </c>
      <c r="F50" s="26"/>
    </row>
    <row r="51" spans="2:6" ht="30">
      <c r="B51" s="47" t="s">
        <v>125</v>
      </c>
      <c r="C51" s="48" t="s">
        <v>126</v>
      </c>
      <c r="D51" s="47" t="s">
        <v>14</v>
      </c>
      <c r="E51" s="9" t="s">
        <v>21</v>
      </c>
      <c r="F51" s="26"/>
    </row>
    <row r="52" spans="2:6" ht="15">
      <c r="B52" s="47" t="s">
        <v>127</v>
      </c>
      <c r="C52" s="48" t="s">
        <v>128</v>
      </c>
      <c r="D52" s="47" t="s">
        <v>14</v>
      </c>
      <c r="E52" s="9" t="s">
        <v>15</v>
      </c>
      <c r="F52" s="26"/>
    </row>
    <row r="53" spans="2:6" ht="15">
      <c r="B53" s="47" t="s">
        <v>129</v>
      </c>
      <c r="C53" s="48" t="s">
        <v>130</v>
      </c>
      <c r="D53" s="47" t="s">
        <v>14</v>
      </c>
      <c r="E53" s="9" t="s">
        <v>21</v>
      </c>
      <c r="F53" s="26"/>
    </row>
    <row r="54" spans="2:6" ht="30">
      <c r="B54" s="47" t="s">
        <v>131</v>
      </c>
      <c r="C54" s="48" t="s">
        <v>132</v>
      </c>
      <c r="D54" s="47" t="s">
        <v>133</v>
      </c>
      <c r="E54" s="9" t="s">
        <v>21</v>
      </c>
      <c r="F54" s="26"/>
    </row>
    <row r="55" spans="2:6" ht="30">
      <c r="B55" s="47" t="s">
        <v>134</v>
      </c>
      <c r="C55" s="48" t="s">
        <v>135</v>
      </c>
      <c r="D55" s="47" t="s">
        <v>133</v>
      </c>
      <c r="E55" s="9" t="s">
        <v>21</v>
      </c>
      <c r="F55" s="26"/>
    </row>
    <row r="56" spans="2:6" ht="30">
      <c r="B56" s="47" t="s">
        <v>136</v>
      </c>
      <c r="C56" s="48" t="s">
        <v>137</v>
      </c>
      <c r="D56" s="47" t="s">
        <v>133</v>
      </c>
      <c r="E56" s="9" t="s">
        <v>15</v>
      </c>
      <c r="F56" s="26" t="s">
        <v>138</v>
      </c>
    </row>
    <row r="57" spans="2:6" ht="15">
      <c r="B57" s="47" t="s">
        <v>139</v>
      </c>
      <c r="C57" s="48" t="s">
        <v>140</v>
      </c>
      <c r="D57" s="47" t="s">
        <v>133</v>
      </c>
      <c r="E57" s="9" t="s">
        <v>21</v>
      </c>
      <c r="F57" s="26"/>
    </row>
    <row r="58" spans="2:6" ht="30">
      <c r="B58" s="47" t="s">
        <v>141</v>
      </c>
      <c r="C58" s="48" t="s">
        <v>142</v>
      </c>
      <c r="D58" s="47" t="s">
        <v>133</v>
      </c>
      <c r="E58" s="9" t="s">
        <v>21</v>
      </c>
      <c r="F58" s="26"/>
    </row>
    <row r="59" spans="2:6" ht="45">
      <c r="B59" s="47" t="s">
        <v>143</v>
      </c>
      <c r="C59" s="48" t="s">
        <v>144</v>
      </c>
      <c r="D59" s="47" t="s">
        <v>133</v>
      </c>
      <c r="E59" s="9" t="s">
        <v>21</v>
      </c>
      <c r="F59" s="26"/>
    </row>
    <row r="60" spans="2:6" ht="30">
      <c r="B60" s="47" t="s">
        <v>145</v>
      </c>
      <c r="C60" s="48" t="s">
        <v>146</v>
      </c>
      <c r="D60" s="47" t="s">
        <v>133</v>
      </c>
      <c r="E60" s="9" t="s">
        <v>21</v>
      </c>
      <c r="F60" s="26"/>
    </row>
    <row r="61" spans="2:6" ht="30">
      <c r="B61" s="47" t="s">
        <v>147</v>
      </c>
      <c r="C61" s="48" t="s">
        <v>148</v>
      </c>
      <c r="D61" s="47" t="s">
        <v>133</v>
      </c>
      <c r="E61" s="9" t="s">
        <v>15</v>
      </c>
      <c r="F61" s="26"/>
    </row>
    <row r="62" spans="2:6" ht="30">
      <c r="B62" s="47" t="s">
        <v>149</v>
      </c>
      <c r="C62" s="48" t="s">
        <v>150</v>
      </c>
      <c r="D62" s="47" t="s">
        <v>133</v>
      </c>
      <c r="E62" s="9" t="s">
        <v>21</v>
      </c>
      <c r="F62" s="26"/>
    </row>
    <row r="63" spans="2:6" ht="30">
      <c r="B63" s="47" t="s">
        <v>151</v>
      </c>
      <c r="C63" s="48" t="s">
        <v>152</v>
      </c>
      <c r="D63" s="47" t="s">
        <v>133</v>
      </c>
      <c r="E63" s="9" t="s">
        <v>15</v>
      </c>
      <c r="F63" s="26"/>
    </row>
    <row r="64" spans="2:6" ht="15">
      <c r="B64" s="47" t="s">
        <v>153</v>
      </c>
      <c r="C64" s="48" t="s">
        <v>154</v>
      </c>
      <c r="D64" s="47" t="s">
        <v>133</v>
      </c>
      <c r="E64" s="9" t="s">
        <v>15</v>
      </c>
      <c r="F64" s="26"/>
    </row>
    <row r="65" spans="2:6" ht="30">
      <c r="B65" s="47" t="s">
        <v>155</v>
      </c>
      <c r="C65" s="48" t="s">
        <v>385</v>
      </c>
      <c r="D65" s="47" t="s">
        <v>133</v>
      </c>
      <c r="E65" s="9" t="s">
        <v>15</v>
      </c>
      <c r="F65" s="26"/>
    </row>
    <row r="66" spans="2:6" ht="60">
      <c r="B66" s="47" t="s">
        <v>158</v>
      </c>
      <c r="C66" s="48" t="s">
        <v>159</v>
      </c>
      <c r="D66" s="47" t="s">
        <v>133</v>
      </c>
      <c r="E66" s="9" t="s">
        <v>62</v>
      </c>
      <c r="F66" s="26" t="s">
        <v>160</v>
      </c>
    </row>
    <row r="67" spans="2:6" ht="15">
      <c r="B67" s="47" t="s">
        <v>162</v>
      </c>
      <c r="C67" s="48" t="s">
        <v>163</v>
      </c>
      <c r="D67" s="47" t="s">
        <v>133</v>
      </c>
      <c r="E67" s="9" t="s">
        <v>15</v>
      </c>
      <c r="F67" s="26"/>
    </row>
    <row r="68" spans="2:6" ht="30">
      <c r="B68" s="47" t="s">
        <v>164</v>
      </c>
      <c r="C68" s="48" t="s">
        <v>165</v>
      </c>
      <c r="D68" s="47" t="s">
        <v>133</v>
      </c>
      <c r="E68" s="9" t="s">
        <v>15</v>
      </c>
      <c r="F68" s="26"/>
    </row>
    <row r="69" spans="2:6" ht="15">
      <c r="B69" s="47" t="s">
        <v>166</v>
      </c>
      <c r="C69" s="48" t="s">
        <v>167</v>
      </c>
      <c r="D69" s="47" t="s">
        <v>133</v>
      </c>
      <c r="E69" s="9" t="s">
        <v>15</v>
      </c>
      <c r="F69" s="26"/>
    </row>
    <row r="70" spans="2:6" ht="15">
      <c r="B70" s="47" t="s">
        <v>168</v>
      </c>
      <c r="C70" s="48" t="s">
        <v>169</v>
      </c>
      <c r="D70" s="47" t="s">
        <v>133</v>
      </c>
      <c r="E70" s="9" t="s">
        <v>15</v>
      </c>
      <c r="F70" s="26"/>
    </row>
    <row r="71" spans="2:6" ht="15">
      <c r="B71" s="47" t="s">
        <v>170</v>
      </c>
      <c r="C71" s="48" t="s">
        <v>171</v>
      </c>
      <c r="D71" s="47" t="s">
        <v>133</v>
      </c>
      <c r="E71" s="9" t="s">
        <v>15</v>
      </c>
      <c r="F71" s="26"/>
    </row>
    <row r="72" spans="2:6" ht="15">
      <c r="B72" s="47" t="s">
        <v>172</v>
      </c>
      <c r="C72" s="48" t="s">
        <v>173</v>
      </c>
      <c r="D72" s="47" t="s">
        <v>133</v>
      </c>
      <c r="E72" s="9" t="s">
        <v>15</v>
      </c>
      <c r="F72" s="26"/>
    </row>
    <row r="73" spans="2:6" ht="15">
      <c r="B73" s="47" t="s">
        <v>174</v>
      </c>
      <c r="C73" s="48" t="s">
        <v>175</v>
      </c>
      <c r="D73" s="47" t="s">
        <v>133</v>
      </c>
      <c r="E73" s="9" t="s">
        <v>15</v>
      </c>
      <c r="F73" s="26"/>
    </row>
    <row r="74" spans="2:6" ht="15">
      <c r="B74" s="47" t="s">
        <v>176</v>
      </c>
      <c r="C74" s="48" t="s">
        <v>177</v>
      </c>
      <c r="D74" s="47" t="s">
        <v>133</v>
      </c>
      <c r="E74" s="9" t="s">
        <v>15</v>
      </c>
      <c r="F74" s="26"/>
    </row>
    <row r="75" spans="2:6" ht="15">
      <c r="B75" s="47" t="s">
        <v>178</v>
      </c>
      <c r="C75" s="48" t="s">
        <v>179</v>
      </c>
      <c r="D75" s="47" t="s">
        <v>133</v>
      </c>
      <c r="E75" s="9" t="s">
        <v>15</v>
      </c>
      <c r="F75" s="26"/>
    </row>
    <row r="76" spans="2:6" ht="15">
      <c r="B76" s="47" t="s">
        <v>180</v>
      </c>
      <c r="C76" s="48" t="s">
        <v>181</v>
      </c>
      <c r="D76" s="47" t="s">
        <v>133</v>
      </c>
      <c r="E76" s="9" t="s">
        <v>15</v>
      </c>
      <c r="F76" s="26"/>
    </row>
    <row r="77" spans="2:6" ht="30">
      <c r="B77" s="47" t="s">
        <v>182</v>
      </c>
      <c r="C77" s="48" t="s">
        <v>183</v>
      </c>
      <c r="D77" s="47" t="s">
        <v>133</v>
      </c>
      <c r="E77" s="9" t="s">
        <v>15</v>
      </c>
      <c r="F77" s="26"/>
    </row>
    <row r="78" spans="2:6" ht="30">
      <c r="B78" s="47" t="s">
        <v>184</v>
      </c>
      <c r="C78" s="48" t="s">
        <v>185</v>
      </c>
      <c r="D78" s="47" t="s">
        <v>133</v>
      </c>
      <c r="E78" s="9" t="s">
        <v>15</v>
      </c>
      <c r="F78" s="26"/>
    </row>
    <row r="79" spans="2:6" ht="15">
      <c r="B79" s="47" t="s">
        <v>186</v>
      </c>
      <c r="C79" s="48" t="s">
        <v>187</v>
      </c>
      <c r="D79" s="47" t="s">
        <v>133</v>
      </c>
      <c r="E79" s="9" t="s">
        <v>15</v>
      </c>
      <c r="F79" s="26"/>
    </row>
    <row r="80" spans="2:6" ht="15">
      <c r="B80" s="47" t="s">
        <v>188</v>
      </c>
      <c r="C80" s="48" t="s">
        <v>189</v>
      </c>
      <c r="D80" s="47" t="s">
        <v>133</v>
      </c>
      <c r="E80" s="9" t="s">
        <v>15</v>
      </c>
      <c r="F80" s="26"/>
    </row>
    <row r="81" spans="2:6" ht="15">
      <c r="B81" s="47" t="s">
        <v>190</v>
      </c>
      <c r="C81" s="48" t="s">
        <v>191</v>
      </c>
      <c r="D81" s="47" t="s">
        <v>133</v>
      </c>
      <c r="E81" s="9" t="s">
        <v>15</v>
      </c>
      <c r="F81" s="26"/>
    </row>
    <row r="82" spans="2:6" ht="15">
      <c r="B82" s="47" t="s">
        <v>192</v>
      </c>
      <c r="C82" s="48" t="s">
        <v>193</v>
      </c>
      <c r="D82" s="47" t="s">
        <v>133</v>
      </c>
      <c r="E82" s="9" t="s">
        <v>15</v>
      </c>
      <c r="F82" s="26"/>
    </row>
    <row r="83" spans="2:6" ht="15">
      <c r="B83" s="47" t="s">
        <v>194</v>
      </c>
      <c r="C83" s="48" t="s">
        <v>195</v>
      </c>
      <c r="D83" s="47" t="s">
        <v>133</v>
      </c>
      <c r="E83" s="9" t="s">
        <v>15</v>
      </c>
      <c r="F83" s="26"/>
    </row>
    <row r="84" spans="2:6" ht="15">
      <c r="B84" s="47" t="s">
        <v>196</v>
      </c>
      <c r="C84" s="48" t="s">
        <v>197</v>
      </c>
      <c r="D84" s="47" t="s">
        <v>133</v>
      </c>
      <c r="E84" s="9" t="s">
        <v>15</v>
      </c>
      <c r="F84" s="26"/>
    </row>
    <row r="85" spans="2:6" ht="15">
      <c r="B85" s="47" t="s">
        <v>198</v>
      </c>
      <c r="C85" s="48" t="s">
        <v>199</v>
      </c>
      <c r="D85" s="47" t="s">
        <v>133</v>
      </c>
      <c r="E85" s="9" t="s">
        <v>15</v>
      </c>
      <c r="F85" s="26"/>
    </row>
    <row r="86" spans="2:6" ht="15">
      <c r="B86" s="47" t="s">
        <v>200</v>
      </c>
      <c r="C86" s="48" t="s">
        <v>201</v>
      </c>
      <c r="D86" s="47" t="s">
        <v>133</v>
      </c>
      <c r="E86" s="9" t="s">
        <v>15</v>
      </c>
      <c r="F86" s="26"/>
    </row>
    <row r="87" spans="2:6" ht="15">
      <c r="B87" s="47" t="s">
        <v>202</v>
      </c>
      <c r="C87" s="48" t="s">
        <v>203</v>
      </c>
      <c r="D87" s="47" t="s">
        <v>133</v>
      </c>
      <c r="E87" s="9" t="s">
        <v>15</v>
      </c>
      <c r="F87" s="26"/>
    </row>
    <row r="88" spans="2:6" ht="15">
      <c r="B88" s="47" t="s">
        <v>204</v>
      </c>
      <c r="C88" s="48" t="s">
        <v>205</v>
      </c>
      <c r="D88" s="47" t="s">
        <v>133</v>
      </c>
      <c r="E88" s="9" t="s">
        <v>15</v>
      </c>
      <c r="F88" s="26"/>
    </row>
    <row r="89" spans="2:6" ht="30">
      <c r="B89" s="47" t="s">
        <v>206</v>
      </c>
      <c r="C89" s="48" t="s">
        <v>207</v>
      </c>
      <c r="D89" s="47" t="s">
        <v>133</v>
      </c>
      <c r="E89" s="9" t="s">
        <v>15</v>
      </c>
      <c r="F89" s="26"/>
    </row>
    <row r="90" spans="2:6" ht="15">
      <c r="B90" s="47" t="s">
        <v>208</v>
      </c>
      <c r="C90" s="48" t="s">
        <v>209</v>
      </c>
      <c r="D90" s="47" t="s">
        <v>133</v>
      </c>
      <c r="E90" s="9" t="s">
        <v>15</v>
      </c>
      <c r="F90" s="26"/>
    </row>
    <row r="91" spans="2:6" ht="15">
      <c r="B91" s="47" t="s">
        <v>210</v>
      </c>
      <c r="C91" s="48" t="s">
        <v>211</v>
      </c>
      <c r="D91" s="47" t="s">
        <v>133</v>
      </c>
      <c r="E91" s="9" t="s">
        <v>15</v>
      </c>
      <c r="F91" s="26"/>
    </row>
    <row r="92" spans="2:6" ht="15">
      <c r="B92" s="47" t="s">
        <v>212</v>
      </c>
      <c r="C92" s="48" t="s">
        <v>213</v>
      </c>
      <c r="D92" s="47" t="s">
        <v>133</v>
      </c>
      <c r="E92" s="9" t="s">
        <v>15</v>
      </c>
      <c r="F92" s="26"/>
    </row>
    <row r="93" spans="2:6" ht="15">
      <c r="B93" s="47" t="s">
        <v>214</v>
      </c>
      <c r="C93" s="48" t="s">
        <v>215</v>
      </c>
      <c r="D93" s="47" t="s">
        <v>133</v>
      </c>
      <c r="E93" s="9" t="s">
        <v>15</v>
      </c>
      <c r="F93" s="26"/>
    </row>
    <row r="94" spans="2:6" ht="15">
      <c r="B94" s="47" t="s">
        <v>216</v>
      </c>
      <c r="C94" s="48" t="s">
        <v>217</v>
      </c>
      <c r="D94" s="47" t="s">
        <v>133</v>
      </c>
      <c r="E94" s="9" t="s">
        <v>15</v>
      </c>
      <c r="F94" s="26"/>
    </row>
    <row r="95" spans="2:6" ht="15">
      <c r="B95" s="47" t="s">
        <v>218</v>
      </c>
      <c r="C95" s="48" t="s">
        <v>219</v>
      </c>
      <c r="D95" s="47" t="s">
        <v>133</v>
      </c>
      <c r="E95" s="9" t="s">
        <v>15</v>
      </c>
      <c r="F95" s="26"/>
    </row>
    <row r="96" spans="2:6" ht="30">
      <c r="B96" s="47" t="s">
        <v>220</v>
      </c>
      <c r="C96" s="48" t="s">
        <v>221</v>
      </c>
      <c r="D96" s="47" t="s">
        <v>133</v>
      </c>
      <c r="E96" s="9" t="s">
        <v>15</v>
      </c>
      <c r="F96" s="26"/>
    </row>
    <row r="97" spans="2:6" ht="15">
      <c r="B97" s="47" t="s">
        <v>222</v>
      </c>
      <c r="C97" s="48" t="s">
        <v>213</v>
      </c>
      <c r="D97" s="47" t="s">
        <v>133</v>
      </c>
      <c r="E97" s="9" t="s">
        <v>15</v>
      </c>
      <c r="F97" s="26"/>
    </row>
    <row r="98" spans="2:6" ht="15">
      <c r="B98" s="47" t="s">
        <v>223</v>
      </c>
      <c r="C98" s="48" t="s">
        <v>215</v>
      </c>
      <c r="D98" s="47" t="s">
        <v>133</v>
      </c>
      <c r="E98" s="9" t="s">
        <v>15</v>
      </c>
      <c r="F98" s="26"/>
    </row>
    <row r="99" spans="2:6" ht="15">
      <c r="B99" s="47" t="s">
        <v>224</v>
      </c>
      <c r="C99" s="48" t="s">
        <v>225</v>
      </c>
      <c r="D99" s="47" t="s">
        <v>133</v>
      </c>
      <c r="E99" s="9" t="s">
        <v>15</v>
      </c>
      <c r="F99" s="26"/>
    </row>
    <row r="100" spans="2:6" ht="45">
      <c r="B100" s="47" t="s">
        <v>226</v>
      </c>
      <c r="C100" s="48" t="s">
        <v>227</v>
      </c>
      <c r="D100" s="47" t="s">
        <v>133</v>
      </c>
      <c r="E100" s="9" t="s">
        <v>15</v>
      </c>
      <c r="F100" s="26"/>
    </row>
    <row r="101" spans="2:6" ht="45">
      <c r="B101" s="47" t="s">
        <v>228</v>
      </c>
      <c r="C101" s="48" t="s">
        <v>229</v>
      </c>
      <c r="D101" s="47" t="s">
        <v>133</v>
      </c>
      <c r="E101" s="9" t="s">
        <v>15</v>
      </c>
      <c r="F101" s="26"/>
    </row>
    <row r="102" spans="2:6" ht="30">
      <c r="B102" s="47" t="s">
        <v>230</v>
      </c>
      <c r="C102" s="48" t="s">
        <v>231</v>
      </c>
      <c r="D102" s="47" t="s">
        <v>133</v>
      </c>
      <c r="E102" s="9" t="s">
        <v>15</v>
      </c>
      <c r="F102" s="26"/>
    </row>
    <row r="103" spans="2:6" ht="30">
      <c r="B103" s="47" t="s">
        <v>232</v>
      </c>
      <c r="C103" s="48" t="s">
        <v>233</v>
      </c>
      <c r="D103" s="47" t="s">
        <v>133</v>
      </c>
      <c r="E103" s="9" t="s">
        <v>15</v>
      </c>
      <c r="F103" s="26"/>
    </row>
    <row r="104" spans="2:6" ht="30">
      <c r="B104" s="47" t="s">
        <v>234</v>
      </c>
      <c r="C104" s="48" t="s">
        <v>235</v>
      </c>
      <c r="D104" s="47" t="s">
        <v>133</v>
      </c>
      <c r="E104" s="9" t="s">
        <v>15</v>
      </c>
      <c r="F104" s="26"/>
    </row>
    <row r="105" spans="2:6" ht="30">
      <c r="B105" s="47" t="s">
        <v>236</v>
      </c>
      <c r="C105" s="48" t="s">
        <v>237</v>
      </c>
      <c r="D105" s="47" t="s">
        <v>133</v>
      </c>
      <c r="E105" s="9" t="s">
        <v>62</v>
      </c>
      <c r="F105" s="26"/>
    </row>
    <row r="106" spans="2:6" ht="30">
      <c r="B106" s="47" t="s">
        <v>239</v>
      </c>
      <c r="C106" s="48" t="s">
        <v>240</v>
      </c>
      <c r="D106" s="47" t="s">
        <v>133</v>
      </c>
      <c r="E106" s="9" t="s">
        <v>15</v>
      </c>
      <c r="F106" s="26"/>
    </row>
    <row r="107" spans="2:6" ht="45">
      <c r="B107" s="47" t="s">
        <v>241</v>
      </c>
      <c r="C107" s="48" t="s">
        <v>242</v>
      </c>
      <c r="D107" s="47" t="s">
        <v>133</v>
      </c>
      <c r="E107" s="9" t="s">
        <v>62</v>
      </c>
      <c r="F107" s="26"/>
    </row>
    <row r="108" spans="2:6" ht="60">
      <c r="B108" s="47" t="s">
        <v>244</v>
      </c>
      <c r="C108" s="48" t="s">
        <v>245</v>
      </c>
      <c r="D108" s="47" t="s">
        <v>133</v>
      </c>
      <c r="E108" s="9" t="s">
        <v>21</v>
      </c>
      <c r="F108" s="26"/>
    </row>
    <row r="109" spans="2:6" ht="45">
      <c r="B109" s="47" t="s">
        <v>246</v>
      </c>
      <c r="C109" s="48" t="s">
        <v>247</v>
      </c>
      <c r="D109" s="47" t="s">
        <v>133</v>
      </c>
      <c r="E109" s="9" t="s">
        <v>21</v>
      </c>
      <c r="F109" s="26"/>
    </row>
    <row r="110" spans="2:6" ht="30">
      <c r="B110" s="47" t="s">
        <v>248</v>
      </c>
      <c r="C110" s="48" t="s">
        <v>249</v>
      </c>
      <c r="D110" s="47" t="s">
        <v>133</v>
      </c>
      <c r="E110" s="9" t="s">
        <v>21</v>
      </c>
      <c r="F110" s="26"/>
    </row>
    <row r="111" spans="2:6" ht="45">
      <c r="B111" s="47" t="s">
        <v>250</v>
      </c>
      <c r="C111" s="48" t="s">
        <v>251</v>
      </c>
      <c r="D111" s="47" t="s">
        <v>133</v>
      </c>
      <c r="E111" s="9" t="s">
        <v>15</v>
      </c>
      <c r="F111" s="26"/>
    </row>
    <row r="112" spans="2:6" ht="15">
      <c r="B112" s="47" t="s">
        <v>252</v>
      </c>
      <c r="C112" s="48" t="s">
        <v>253</v>
      </c>
      <c r="D112" s="47" t="s">
        <v>133</v>
      </c>
      <c r="E112" s="9" t="s">
        <v>15</v>
      </c>
      <c r="F112" s="26"/>
    </row>
    <row r="113" spans="2:6" ht="15">
      <c r="B113" s="47" t="s">
        <v>254</v>
      </c>
      <c r="C113" s="48" t="s">
        <v>255</v>
      </c>
      <c r="D113" s="47" t="s">
        <v>256</v>
      </c>
      <c r="E113" s="9" t="s">
        <v>15</v>
      </c>
      <c r="F113" s="26"/>
    </row>
    <row r="114" spans="2:6" ht="15">
      <c r="B114" s="47" t="s">
        <v>257</v>
      </c>
      <c r="C114" s="48" t="s">
        <v>258</v>
      </c>
      <c r="D114" s="47" t="s">
        <v>256</v>
      </c>
      <c r="E114" s="9" t="s">
        <v>15</v>
      </c>
      <c r="F114" s="26"/>
    </row>
    <row r="115" spans="2:6" ht="15">
      <c r="B115" s="47" t="s">
        <v>259</v>
      </c>
      <c r="C115" s="48" t="s">
        <v>260</v>
      </c>
      <c r="D115" s="47" t="s">
        <v>256</v>
      </c>
      <c r="E115" s="9" t="s">
        <v>15</v>
      </c>
      <c r="F115" s="26"/>
    </row>
    <row r="116" spans="2:6" ht="30">
      <c r="B116" s="47" t="s">
        <v>261</v>
      </c>
      <c r="C116" s="48" t="s">
        <v>262</v>
      </c>
      <c r="D116" s="47" t="s">
        <v>256</v>
      </c>
      <c r="E116" s="9" t="s">
        <v>15</v>
      </c>
      <c r="F116" s="26"/>
    </row>
    <row r="117" spans="2:6" ht="45">
      <c r="B117" s="47" t="s">
        <v>263</v>
      </c>
      <c r="C117" s="48" t="s">
        <v>416</v>
      </c>
      <c r="D117" s="47" t="s">
        <v>256</v>
      </c>
      <c r="E117" s="9" t="s">
        <v>15</v>
      </c>
      <c r="F117" s="26"/>
    </row>
    <row r="118" spans="2:6" ht="15">
      <c r="B118" s="47" t="s">
        <v>265</v>
      </c>
      <c r="C118" s="48" t="s">
        <v>266</v>
      </c>
      <c r="D118" s="47" t="s">
        <v>256</v>
      </c>
      <c r="E118" s="9" t="s">
        <v>15</v>
      </c>
      <c r="F118" s="26"/>
    </row>
    <row r="119" spans="2:6" ht="120">
      <c r="B119" s="47" t="s">
        <v>267</v>
      </c>
      <c r="C119" s="48" t="s">
        <v>417</v>
      </c>
      <c r="D119" s="47" t="s">
        <v>256</v>
      </c>
      <c r="E119" s="9" t="s">
        <v>15</v>
      </c>
      <c r="F119" s="26"/>
    </row>
    <row r="120" spans="2:6" ht="30">
      <c r="B120" s="47" t="s">
        <v>270</v>
      </c>
      <c r="C120" s="48" t="s">
        <v>418</v>
      </c>
      <c r="D120" s="47" t="s">
        <v>256</v>
      </c>
      <c r="E120" s="9" t="s">
        <v>15</v>
      </c>
      <c r="F120" s="26"/>
    </row>
    <row r="121" spans="2:6" ht="30">
      <c r="B121" s="47" t="s">
        <v>273</v>
      </c>
      <c r="C121" s="48" t="s">
        <v>274</v>
      </c>
      <c r="D121" s="47" t="s">
        <v>256</v>
      </c>
      <c r="E121" s="9" t="s">
        <v>15</v>
      </c>
      <c r="F121" s="26"/>
    </row>
    <row r="122" spans="2:6" ht="15">
      <c r="B122" s="47" t="s">
        <v>275</v>
      </c>
      <c r="C122" s="48" t="s">
        <v>276</v>
      </c>
      <c r="D122" s="47" t="s">
        <v>256</v>
      </c>
      <c r="E122" s="9" t="s">
        <v>21</v>
      </c>
      <c r="F122" s="26"/>
    </row>
    <row r="123" spans="2:6" ht="15">
      <c r="B123" s="47" t="s">
        <v>277</v>
      </c>
      <c r="C123" s="48" t="s">
        <v>278</v>
      </c>
      <c r="D123" s="47" t="s">
        <v>256</v>
      </c>
      <c r="E123" s="9" t="s">
        <v>62</v>
      </c>
      <c r="F123" s="26"/>
    </row>
    <row r="124" spans="2:6" ht="30">
      <c r="B124" s="47" t="s">
        <v>279</v>
      </c>
      <c r="C124" s="48" t="s">
        <v>280</v>
      </c>
      <c r="D124" s="47" t="s">
        <v>256</v>
      </c>
      <c r="E124" s="9" t="s">
        <v>21</v>
      </c>
      <c r="F124" s="26"/>
    </row>
    <row r="125" spans="2:6" ht="15">
      <c r="B125" s="47" t="s">
        <v>281</v>
      </c>
      <c r="C125" s="48" t="s">
        <v>282</v>
      </c>
      <c r="D125" s="47" t="s">
        <v>256</v>
      </c>
      <c r="E125" s="9" t="s">
        <v>15</v>
      </c>
      <c r="F125" s="26"/>
    </row>
    <row r="126" spans="2:6" ht="15">
      <c r="B126" s="47" t="s">
        <v>283</v>
      </c>
      <c r="C126" s="48" t="s">
        <v>284</v>
      </c>
      <c r="D126" s="47" t="s">
        <v>256</v>
      </c>
      <c r="E126" s="9" t="s">
        <v>21</v>
      </c>
      <c r="F126" s="26"/>
    </row>
    <row r="127" spans="2:6" ht="15">
      <c r="B127" s="47" t="s">
        <v>285</v>
      </c>
      <c r="C127" s="48" t="s">
        <v>286</v>
      </c>
      <c r="D127" s="47" t="s">
        <v>256</v>
      </c>
      <c r="E127" s="9" t="s">
        <v>21</v>
      </c>
      <c r="F127" s="26"/>
    </row>
    <row r="128" spans="2:6" ht="15">
      <c r="B128" s="47" t="s">
        <v>287</v>
      </c>
      <c r="C128" s="48" t="s">
        <v>288</v>
      </c>
      <c r="D128" s="47" t="s">
        <v>256</v>
      </c>
      <c r="E128" s="9" t="s">
        <v>21</v>
      </c>
      <c r="F128" s="26"/>
    </row>
    <row r="129" spans="2:6" ht="45">
      <c r="B129" s="47" t="s">
        <v>289</v>
      </c>
      <c r="C129" s="48" t="s">
        <v>290</v>
      </c>
      <c r="D129" s="47" t="s">
        <v>256</v>
      </c>
      <c r="E129" s="9" t="s">
        <v>21</v>
      </c>
      <c r="F129" s="26"/>
    </row>
    <row r="130" spans="2:6" ht="15">
      <c r="B130" s="47" t="s">
        <v>291</v>
      </c>
      <c r="C130" s="48" t="s">
        <v>292</v>
      </c>
      <c r="D130" s="47" t="s">
        <v>256</v>
      </c>
      <c r="E130" s="9" t="s">
        <v>21</v>
      </c>
      <c r="F130" s="26"/>
    </row>
    <row r="131" spans="2:6" ht="30">
      <c r="B131" s="47" t="s">
        <v>293</v>
      </c>
      <c r="C131" s="48" t="s">
        <v>294</v>
      </c>
      <c r="D131" s="47" t="s">
        <v>256</v>
      </c>
      <c r="E131" s="9" t="s">
        <v>21</v>
      </c>
      <c r="F131" s="26"/>
    </row>
    <row r="132" spans="2:6" ht="30">
      <c r="B132" s="47" t="s">
        <v>295</v>
      </c>
      <c r="C132" s="48" t="s">
        <v>296</v>
      </c>
      <c r="D132" s="47" t="s">
        <v>256</v>
      </c>
      <c r="E132" s="9" t="s">
        <v>21</v>
      </c>
      <c r="F132" s="26"/>
    </row>
    <row r="133" spans="2:6" ht="30">
      <c r="B133" s="47" t="s">
        <v>297</v>
      </c>
      <c r="C133" s="48" t="s">
        <v>298</v>
      </c>
      <c r="D133" s="47" t="s">
        <v>256</v>
      </c>
      <c r="E133" s="9" t="s">
        <v>21</v>
      </c>
      <c r="F133" s="26"/>
    </row>
    <row r="134" spans="2:6" ht="30">
      <c r="B134" s="47" t="s">
        <v>299</v>
      </c>
      <c r="C134" s="48" t="s">
        <v>406</v>
      </c>
      <c r="D134" s="47" t="s">
        <v>256</v>
      </c>
      <c r="E134" s="9" t="s">
        <v>15</v>
      </c>
      <c r="F134" s="26"/>
    </row>
    <row r="135" spans="2:6" ht="45">
      <c r="B135" s="47" t="s">
        <v>301</v>
      </c>
      <c r="C135" s="48" t="s">
        <v>419</v>
      </c>
      <c r="D135" s="47" t="s">
        <v>256</v>
      </c>
      <c r="E135" s="9" t="s">
        <v>21</v>
      </c>
      <c r="F135" s="26"/>
    </row>
    <row r="136" spans="2:6" ht="30">
      <c r="B136" s="47" t="s">
        <v>303</v>
      </c>
      <c r="C136" s="48" t="s">
        <v>304</v>
      </c>
      <c r="D136" s="47" t="s">
        <v>256</v>
      </c>
      <c r="E136" s="9" t="s">
        <v>21</v>
      </c>
      <c r="F136" s="26"/>
    </row>
    <row r="137" spans="2:6" ht="15">
      <c r="B137" s="47" t="s">
        <v>305</v>
      </c>
      <c r="C137" s="48" t="s">
        <v>306</v>
      </c>
      <c r="D137" s="47" t="s">
        <v>256</v>
      </c>
      <c r="E137" s="9" t="s">
        <v>15</v>
      </c>
      <c r="F137" s="26"/>
    </row>
    <row r="138" spans="2:6" ht="30">
      <c r="B138" s="47" t="s">
        <v>307</v>
      </c>
      <c r="C138" s="48" t="s">
        <v>308</v>
      </c>
      <c r="D138" s="47" t="s">
        <v>256</v>
      </c>
      <c r="E138" s="9" t="s">
        <v>21</v>
      </c>
      <c r="F138" s="26"/>
    </row>
    <row r="139" spans="2:6" ht="75">
      <c r="B139" s="47" t="s">
        <v>309</v>
      </c>
      <c r="C139" s="48" t="s">
        <v>408</v>
      </c>
      <c r="D139" s="47" t="s">
        <v>256</v>
      </c>
      <c r="E139" s="9" t="s">
        <v>15</v>
      </c>
      <c r="F139" s="26"/>
    </row>
    <row r="140" spans="2:6" ht="30">
      <c r="B140" s="47" t="s">
        <v>311</v>
      </c>
      <c r="C140" s="48" t="s">
        <v>312</v>
      </c>
      <c r="D140" s="47" t="s">
        <v>256</v>
      </c>
      <c r="E140" s="9" t="s">
        <v>21</v>
      </c>
      <c r="F140" s="26"/>
    </row>
    <row r="141" spans="2:6" ht="30">
      <c r="B141" s="47" t="s">
        <v>315</v>
      </c>
      <c r="C141" s="48" t="s">
        <v>316</v>
      </c>
      <c r="D141" s="47" t="s">
        <v>256</v>
      </c>
      <c r="E141" s="9" t="s">
        <v>15</v>
      </c>
      <c r="F141" s="26"/>
    </row>
    <row r="142" spans="2:6" ht="30">
      <c r="B142" s="47" t="s">
        <v>317</v>
      </c>
      <c r="C142" s="48" t="s">
        <v>318</v>
      </c>
      <c r="D142" s="47" t="s">
        <v>256</v>
      </c>
      <c r="E142" s="49" t="s">
        <v>62</v>
      </c>
      <c r="F142" s="12" t="s">
        <v>160</v>
      </c>
    </row>
    <row r="143" spans="2:6" ht="45">
      <c r="B143" s="47" t="s">
        <v>319</v>
      </c>
      <c r="C143" s="48" t="s">
        <v>320</v>
      </c>
      <c r="D143" s="47" t="s">
        <v>256</v>
      </c>
      <c r="E143" s="49" t="s">
        <v>62</v>
      </c>
      <c r="F143" s="12" t="s">
        <v>160</v>
      </c>
    </row>
    <row r="144" spans="2:6" ht="30">
      <c r="B144" s="47" t="s">
        <v>322</v>
      </c>
      <c r="C144" s="48" t="s">
        <v>323</v>
      </c>
      <c r="D144" s="47" t="s">
        <v>256</v>
      </c>
      <c r="E144" s="9" t="s">
        <v>21</v>
      </c>
      <c r="F144" s="26"/>
    </row>
    <row r="145" spans="2:6" ht="90">
      <c r="B145" s="47" t="s">
        <v>325</v>
      </c>
      <c r="C145" s="48" t="s">
        <v>326</v>
      </c>
      <c r="D145" s="47" t="s">
        <v>256</v>
      </c>
      <c r="E145" s="9" t="s">
        <v>21</v>
      </c>
      <c r="F145" s="26"/>
    </row>
    <row r="146" spans="2:6" ht="15">
      <c r="B146" s="47" t="s">
        <v>327</v>
      </c>
      <c r="C146" s="48" t="s">
        <v>328</v>
      </c>
      <c r="D146" s="47" t="s">
        <v>256</v>
      </c>
      <c r="E146" s="9" t="s">
        <v>21</v>
      </c>
      <c r="F146" s="26"/>
    </row>
    <row r="147" spans="2:6" ht="30">
      <c r="B147" s="47" t="s">
        <v>329</v>
      </c>
      <c r="C147" s="48" t="s">
        <v>330</v>
      </c>
      <c r="D147" s="47" t="s">
        <v>256</v>
      </c>
      <c r="E147" s="9" t="s">
        <v>21</v>
      </c>
      <c r="F147" s="26"/>
    </row>
    <row r="148" spans="2:6" ht="30">
      <c r="B148" s="47" t="s">
        <v>331</v>
      </c>
      <c r="C148" s="48" t="s">
        <v>332</v>
      </c>
      <c r="D148" s="47" t="s">
        <v>256</v>
      </c>
      <c r="E148" s="9" t="s">
        <v>21</v>
      </c>
      <c r="F148" s="26"/>
    </row>
    <row r="149" spans="2:6" ht="45">
      <c r="B149" s="47" t="s">
        <v>333</v>
      </c>
      <c r="C149" s="48" t="s">
        <v>334</v>
      </c>
      <c r="D149" s="47" t="s">
        <v>256</v>
      </c>
      <c r="E149" s="9" t="s">
        <v>21</v>
      </c>
      <c r="F149" s="26"/>
    </row>
    <row r="150" spans="2:6" ht="45">
      <c r="B150" s="47" t="s">
        <v>335</v>
      </c>
      <c r="C150" s="48" t="s">
        <v>336</v>
      </c>
      <c r="D150" s="47" t="s">
        <v>256</v>
      </c>
      <c r="E150" s="9" t="s">
        <v>21</v>
      </c>
      <c r="F150" s="26"/>
    </row>
    <row r="151" spans="2:6" ht="30">
      <c r="B151" s="47" t="s">
        <v>337</v>
      </c>
      <c r="C151" s="48" t="s">
        <v>338</v>
      </c>
      <c r="D151" s="47" t="s">
        <v>256</v>
      </c>
      <c r="E151" s="9" t="s">
        <v>21</v>
      </c>
      <c r="F151" s="26"/>
    </row>
    <row r="152" spans="2:6" ht="30">
      <c r="B152" s="47" t="s">
        <v>339</v>
      </c>
      <c r="C152" s="48" t="s">
        <v>340</v>
      </c>
      <c r="D152" s="47" t="s">
        <v>256</v>
      </c>
      <c r="E152" s="9" t="s">
        <v>21</v>
      </c>
      <c r="F152" s="26"/>
    </row>
    <row r="153" spans="2:6" ht="30">
      <c r="B153" s="47" t="s">
        <v>341</v>
      </c>
      <c r="C153" s="48" t="s">
        <v>342</v>
      </c>
      <c r="D153" s="47" t="s">
        <v>256</v>
      </c>
      <c r="E153" s="9" t="s">
        <v>21</v>
      </c>
      <c r="F153" s="26"/>
    </row>
    <row r="154" spans="2:6" ht="45">
      <c r="B154" s="47" t="s">
        <v>343</v>
      </c>
      <c r="C154" s="48" t="s">
        <v>344</v>
      </c>
      <c r="D154" s="47" t="s">
        <v>256</v>
      </c>
      <c r="E154" s="9" t="s">
        <v>21</v>
      </c>
      <c r="F154" s="26"/>
    </row>
    <row r="155" spans="2:6" ht="30">
      <c r="B155" s="47" t="s">
        <v>345</v>
      </c>
      <c r="C155" s="48" t="s">
        <v>346</v>
      </c>
      <c r="D155" s="47" t="s">
        <v>256</v>
      </c>
      <c r="E155" s="9" t="s">
        <v>21</v>
      </c>
      <c r="F155" s="26"/>
    </row>
    <row r="156" spans="2:6" ht="75">
      <c r="B156" s="47" t="s">
        <v>347</v>
      </c>
      <c r="C156" s="48" t="s">
        <v>420</v>
      </c>
      <c r="D156" s="47" t="s">
        <v>256</v>
      </c>
      <c r="E156" s="9" t="s">
        <v>21</v>
      </c>
      <c r="F156" s="26"/>
    </row>
    <row r="157" spans="2:6" ht="45">
      <c r="B157" s="47" t="s">
        <v>349</v>
      </c>
      <c r="C157" s="48" t="s">
        <v>350</v>
      </c>
      <c r="D157" s="47" t="s">
        <v>256</v>
      </c>
      <c r="E157" s="9" t="s">
        <v>21</v>
      </c>
      <c r="F157" s="26"/>
    </row>
    <row r="158" spans="2:6" ht="45">
      <c r="B158" s="47" t="s">
        <v>351</v>
      </c>
      <c r="C158" s="48" t="s">
        <v>352</v>
      </c>
      <c r="D158" s="47" t="s">
        <v>256</v>
      </c>
      <c r="E158" s="9" t="s">
        <v>21</v>
      </c>
      <c r="F158" s="26"/>
    </row>
    <row r="159" spans="2:6" ht="30">
      <c r="B159" s="47" t="s">
        <v>353</v>
      </c>
      <c r="C159" s="48" t="s">
        <v>354</v>
      </c>
      <c r="D159" s="47" t="s">
        <v>256</v>
      </c>
      <c r="E159" s="9" t="s">
        <v>21</v>
      </c>
      <c r="F159" s="26"/>
    </row>
    <row r="160" spans="2:6" ht="15">
      <c r="B160" s="47" t="s">
        <v>355</v>
      </c>
      <c r="C160" s="48" t="s">
        <v>356</v>
      </c>
      <c r="D160" s="47" t="s">
        <v>256</v>
      </c>
      <c r="E160" s="9" t="s">
        <v>21</v>
      </c>
      <c r="F160" s="26"/>
    </row>
    <row r="161" spans="2:6" ht="30">
      <c r="B161" s="47" t="s">
        <v>357</v>
      </c>
      <c r="C161" s="48" t="s">
        <v>358</v>
      </c>
      <c r="D161" s="47" t="s">
        <v>256</v>
      </c>
      <c r="E161" s="9" t="s">
        <v>21</v>
      </c>
      <c r="F161" s="26"/>
    </row>
    <row r="162" spans="2:6" ht="30">
      <c r="B162" s="47" t="s">
        <v>359</v>
      </c>
      <c r="C162" s="48" t="s">
        <v>360</v>
      </c>
      <c r="D162" s="47" t="s">
        <v>256</v>
      </c>
      <c r="E162" s="9" t="s">
        <v>21</v>
      </c>
      <c r="F162" s="26"/>
    </row>
    <row r="163" spans="2:6" ht="15">
      <c r="B163" s="47" t="s">
        <v>361</v>
      </c>
      <c r="C163" s="48" t="s">
        <v>362</v>
      </c>
      <c r="D163" s="47" t="s">
        <v>256</v>
      </c>
      <c r="E163" s="9" t="s">
        <v>21</v>
      </c>
      <c r="F163" s="26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53"/>
  <sheetViews>
    <sheetView workbookViewId="0"/>
  </sheetViews>
  <sheetFormatPr baseColWidth="10" defaultColWidth="9" defaultRowHeight="14"/>
  <cols>
    <col min="1" max="1" width="3.5" style="2" customWidth="1"/>
    <col min="2" max="2" width="6.33203125" style="2" bestFit="1"/>
    <col min="3" max="3" width="123.5" style="50" customWidth="1"/>
    <col min="4" max="4" width="30.5" style="2" customWidth="1"/>
    <col min="5" max="16384" width="9" style="2"/>
  </cols>
  <sheetData>
    <row r="2" spans="2:4" ht="16">
      <c r="B2" s="51" t="s">
        <v>421</v>
      </c>
      <c r="C2" s="52" t="s">
        <v>2</v>
      </c>
      <c r="D2" s="52" t="s">
        <v>422</v>
      </c>
    </row>
    <row r="3" spans="2:4" ht="30">
      <c r="B3" s="53">
        <v>1</v>
      </c>
      <c r="C3" s="54" t="s">
        <v>423</v>
      </c>
      <c r="D3" s="54" t="s">
        <v>12</v>
      </c>
    </row>
    <row r="4" spans="2:4" ht="30">
      <c r="B4" s="53">
        <v>2</v>
      </c>
      <c r="C4" s="54" t="s">
        <v>424</v>
      </c>
      <c r="D4" s="54" t="s">
        <v>16</v>
      </c>
    </row>
    <row r="5" spans="2:4" ht="15">
      <c r="B5" s="53">
        <v>3</v>
      </c>
      <c r="C5" s="54" t="s">
        <v>425</v>
      </c>
      <c r="D5" s="54" t="s">
        <v>26</v>
      </c>
    </row>
    <row r="6" spans="2:4" ht="15">
      <c r="B6" s="55">
        <v>4</v>
      </c>
      <c r="C6" s="56" t="s">
        <v>426</v>
      </c>
      <c r="D6" s="57" t="s">
        <v>427</v>
      </c>
    </row>
    <row r="7" spans="2:4" ht="15">
      <c r="B7" s="53">
        <v>5</v>
      </c>
      <c r="C7" s="54" t="s">
        <v>428</v>
      </c>
      <c r="D7" s="54" t="s">
        <v>19</v>
      </c>
    </row>
    <row r="8" spans="2:4" ht="15">
      <c r="B8" s="53">
        <v>6</v>
      </c>
      <c r="C8" s="54" t="s">
        <v>23</v>
      </c>
      <c r="D8" s="54" t="s">
        <v>22</v>
      </c>
    </row>
    <row r="9" spans="2:4" ht="15">
      <c r="B9" s="53">
        <v>7</v>
      </c>
      <c r="C9" s="54" t="s">
        <v>429</v>
      </c>
      <c r="D9" s="54" t="s">
        <v>430</v>
      </c>
    </row>
    <row r="10" spans="2:4" ht="15">
      <c r="B10" s="53">
        <v>8</v>
      </c>
      <c r="C10" s="54" t="s">
        <v>31</v>
      </c>
      <c r="D10" s="54" t="s">
        <v>30</v>
      </c>
    </row>
    <row r="11" spans="2:4" ht="45">
      <c r="B11" s="53">
        <v>9</v>
      </c>
      <c r="C11" s="54" t="s">
        <v>431</v>
      </c>
      <c r="D11" s="54" t="s">
        <v>26</v>
      </c>
    </row>
    <row r="12" spans="2:4" ht="15">
      <c r="B12" s="53">
        <v>10</v>
      </c>
      <c r="C12" s="54" t="s">
        <v>432</v>
      </c>
      <c r="D12" s="54" t="s">
        <v>26</v>
      </c>
    </row>
    <row r="13" spans="2:4" ht="15">
      <c r="B13" s="53">
        <v>11</v>
      </c>
      <c r="C13" s="54" t="s">
        <v>433</v>
      </c>
      <c r="D13" s="54" t="s">
        <v>26</v>
      </c>
    </row>
    <row r="14" spans="2:4" ht="15">
      <c r="B14" s="53">
        <v>12</v>
      </c>
      <c r="C14" s="54" t="s">
        <v>33</v>
      </c>
      <c r="D14" s="54" t="s">
        <v>32</v>
      </c>
    </row>
    <row r="15" spans="2:4" ht="15">
      <c r="B15" s="53">
        <v>13</v>
      </c>
      <c r="C15" s="54" t="s">
        <v>434</v>
      </c>
      <c r="D15" s="54" t="s">
        <v>39</v>
      </c>
    </row>
    <row r="16" spans="2:4" ht="30">
      <c r="B16" s="53">
        <v>14</v>
      </c>
      <c r="C16" s="54" t="s">
        <v>42</v>
      </c>
      <c r="D16" s="54" t="s">
        <v>41</v>
      </c>
    </row>
    <row r="17" spans="2:4" ht="45">
      <c r="B17" s="53">
        <v>15</v>
      </c>
      <c r="C17" s="54" t="s">
        <v>435</v>
      </c>
      <c r="D17" s="54" t="s">
        <v>26</v>
      </c>
    </row>
    <row r="18" spans="2:4" ht="15">
      <c r="B18" s="53">
        <v>16</v>
      </c>
      <c r="C18" s="54" t="s">
        <v>56</v>
      </c>
      <c r="D18" s="54" t="s">
        <v>55</v>
      </c>
    </row>
    <row r="19" spans="2:4" ht="30">
      <c r="B19" s="53">
        <v>17</v>
      </c>
      <c r="C19" s="54" t="s">
        <v>436</v>
      </c>
      <c r="D19" s="54" t="s">
        <v>26</v>
      </c>
    </row>
    <row r="20" spans="2:4" ht="30">
      <c r="B20" s="53">
        <v>18</v>
      </c>
      <c r="C20" s="54" t="s">
        <v>59</v>
      </c>
      <c r="D20" s="54" t="s">
        <v>58</v>
      </c>
    </row>
    <row r="21" spans="2:4" ht="15">
      <c r="B21" s="53">
        <v>19</v>
      </c>
      <c r="C21" s="54" t="s">
        <v>437</v>
      </c>
      <c r="D21" s="54" t="s">
        <v>26</v>
      </c>
    </row>
    <row r="22" spans="2:4" ht="30">
      <c r="B22" s="53">
        <v>20</v>
      </c>
      <c r="C22" s="54" t="s">
        <v>61</v>
      </c>
      <c r="D22" s="54" t="s">
        <v>60</v>
      </c>
    </row>
    <row r="23" spans="2:4" ht="30">
      <c r="B23" s="53">
        <v>21</v>
      </c>
      <c r="C23" s="54" t="s">
        <v>65</v>
      </c>
      <c r="D23" s="54" t="s">
        <v>64</v>
      </c>
    </row>
    <row r="24" spans="2:4" ht="15">
      <c r="B24" s="53">
        <v>22</v>
      </c>
      <c r="C24" s="54" t="s">
        <v>67</v>
      </c>
      <c r="D24" s="54" t="s">
        <v>66</v>
      </c>
    </row>
    <row r="25" spans="2:4" ht="15">
      <c r="B25" s="53">
        <v>23</v>
      </c>
      <c r="C25" s="54" t="s">
        <v>69</v>
      </c>
      <c r="D25" s="54" t="s">
        <v>68</v>
      </c>
    </row>
    <row r="26" spans="2:4" ht="45">
      <c r="B26" s="53">
        <v>24</v>
      </c>
      <c r="C26" s="54" t="s">
        <v>438</v>
      </c>
      <c r="D26" s="54" t="s">
        <v>90</v>
      </c>
    </row>
    <row r="27" spans="2:4" ht="15">
      <c r="B27" s="53">
        <v>25</v>
      </c>
      <c r="C27" s="54" t="s">
        <v>376</v>
      </c>
      <c r="D27" s="54" t="s">
        <v>92</v>
      </c>
    </row>
    <row r="28" spans="2:4" ht="15">
      <c r="B28" s="53">
        <v>26</v>
      </c>
      <c r="C28" s="54" t="s">
        <v>439</v>
      </c>
      <c r="D28" s="54" t="s">
        <v>26</v>
      </c>
    </row>
    <row r="29" spans="2:4" ht="15">
      <c r="B29" s="53">
        <v>27</v>
      </c>
      <c r="C29" s="54" t="s">
        <v>440</v>
      </c>
      <c r="D29" s="54" t="s">
        <v>26</v>
      </c>
    </row>
    <row r="30" spans="2:4" ht="15">
      <c r="B30" s="53">
        <v>28</v>
      </c>
      <c r="C30" s="54" t="s">
        <v>441</v>
      </c>
      <c r="D30" s="54" t="s">
        <v>26</v>
      </c>
    </row>
    <row r="31" spans="2:4" ht="15">
      <c r="B31" s="53">
        <v>29</v>
      </c>
      <c r="C31" s="54" t="s">
        <v>96</v>
      </c>
      <c r="D31" s="54" t="s">
        <v>95</v>
      </c>
    </row>
    <row r="32" spans="2:4" ht="15">
      <c r="B32" s="53">
        <v>30</v>
      </c>
      <c r="C32" s="54" t="s">
        <v>442</v>
      </c>
      <c r="D32" s="54" t="s">
        <v>443</v>
      </c>
    </row>
    <row r="33" spans="2:4" ht="15">
      <c r="B33" s="53">
        <v>31</v>
      </c>
      <c r="C33" s="54" t="s">
        <v>98</v>
      </c>
      <c r="D33" s="54" t="s">
        <v>97</v>
      </c>
    </row>
    <row r="34" spans="2:4" ht="15">
      <c r="B34" s="53">
        <v>32</v>
      </c>
      <c r="C34" s="54" t="s">
        <v>100</v>
      </c>
      <c r="D34" s="54" t="s">
        <v>99</v>
      </c>
    </row>
    <row r="35" spans="2:4" ht="15">
      <c r="B35" s="53">
        <v>33</v>
      </c>
      <c r="C35" s="54" t="s">
        <v>102</v>
      </c>
      <c r="D35" s="54" t="s">
        <v>101</v>
      </c>
    </row>
    <row r="36" spans="2:4" ht="15">
      <c r="B36" s="53">
        <v>34</v>
      </c>
      <c r="C36" s="54" t="s">
        <v>104</v>
      </c>
      <c r="D36" s="54" t="s">
        <v>103</v>
      </c>
    </row>
    <row r="37" spans="2:4" ht="15">
      <c r="B37" s="53">
        <v>35</v>
      </c>
      <c r="C37" s="54" t="s">
        <v>106</v>
      </c>
      <c r="D37" s="54" t="s">
        <v>105</v>
      </c>
    </row>
    <row r="38" spans="2:4" ht="15">
      <c r="B38" s="53">
        <v>36</v>
      </c>
      <c r="C38" s="54" t="s">
        <v>108</v>
      </c>
      <c r="D38" s="54" t="s">
        <v>107</v>
      </c>
    </row>
    <row r="39" spans="2:4" ht="15">
      <c r="B39" s="53">
        <v>37</v>
      </c>
      <c r="C39" s="54" t="s">
        <v>110</v>
      </c>
      <c r="D39" s="54" t="s">
        <v>109</v>
      </c>
    </row>
    <row r="40" spans="2:4" ht="15">
      <c r="B40" s="53">
        <v>38</v>
      </c>
      <c r="C40" s="54" t="s">
        <v>112</v>
      </c>
      <c r="D40" s="54" t="s">
        <v>111</v>
      </c>
    </row>
    <row r="41" spans="2:4" ht="30">
      <c r="B41" s="53">
        <v>39</v>
      </c>
      <c r="C41" s="54" t="s">
        <v>114</v>
      </c>
      <c r="D41" s="54" t="s">
        <v>113</v>
      </c>
    </row>
    <row r="42" spans="2:4" ht="15">
      <c r="B42" s="53">
        <v>40</v>
      </c>
      <c r="C42" s="54" t="s">
        <v>116</v>
      </c>
      <c r="D42" s="54" t="s">
        <v>115</v>
      </c>
    </row>
    <row r="43" spans="2:4" ht="15">
      <c r="B43" s="53">
        <v>41</v>
      </c>
      <c r="C43" s="54" t="s">
        <v>118</v>
      </c>
      <c r="D43" s="54" t="s">
        <v>117</v>
      </c>
    </row>
    <row r="44" spans="2:4" ht="15">
      <c r="B44" s="53">
        <v>42</v>
      </c>
      <c r="C44" s="54" t="s">
        <v>120</v>
      </c>
      <c r="D44" s="54" t="s">
        <v>119</v>
      </c>
    </row>
    <row r="45" spans="2:4" ht="15">
      <c r="B45" s="53">
        <v>43</v>
      </c>
      <c r="C45" s="54" t="s">
        <v>122</v>
      </c>
      <c r="D45" s="54" t="s">
        <v>121</v>
      </c>
    </row>
    <row r="46" spans="2:4" ht="15">
      <c r="B46" s="53">
        <v>44</v>
      </c>
      <c r="C46" s="54" t="s">
        <v>124</v>
      </c>
      <c r="D46" s="54" t="s">
        <v>123</v>
      </c>
    </row>
    <row r="47" spans="2:4" ht="15">
      <c r="B47" s="53">
        <v>45</v>
      </c>
      <c r="C47" s="54" t="s">
        <v>126</v>
      </c>
      <c r="D47" s="54" t="s">
        <v>125</v>
      </c>
    </row>
    <row r="48" spans="2:4" ht="15">
      <c r="B48" s="53">
        <v>46</v>
      </c>
      <c r="C48" s="54" t="s">
        <v>154</v>
      </c>
      <c r="D48" s="54" t="s">
        <v>153</v>
      </c>
    </row>
    <row r="49" spans="2:4" ht="15">
      <c r="B49" s="53">
        <v>47</v>
      </c>
      <c r="C49" s="54" t="s">
        <v>444</v>
      </c>
      <c r="D49" s="54" t="s">
        <v>26</v>
      </c>
    </row>
    <row r="50" spans="2:4" ht="15">
      <c r="B50" s="53">
        <v>48</v>
      </c>
      <c r="C50" s="54" t="s">
        <v>445</v>
      </c>
      <c r="D50" s="54" t="s">
        <v>26</v>
      </c>
    </row>
    <row r="51" spans="2:4" ht="15">
      <c r="B51" s="53">
        <v>49</v>
      </c>
      <c r="C51" s="54" t="s">
        <v>446</v>
      </c>
      <c r="D51" s="54" t="s">
        <v>26</v>
      </c>
    </row>
    <row r="52" spans="2:4" ht="30">
      <c r="B52" s="53">
        <v>50</v>
      </c>
      <c r="C52" s="54" t="s">
        <v>447</v>
      </c>
      <c r="D52" s="54" t="s">
        <v>448</v>
      </c>
    </row>
    <row r="53" spans="2:4" ht="15">
      <c r="B53" s="53">
        <v>51</v>
      </c>
      <c r="C53" s="54" t="s">
        <v>163</v>
      </c>
      <c r="D53" s="54" t="s">
        <v>162</v>
      </c>
    </row>
    <row r="54" spans="2:4" ht="30">
      <c r="B54" s="53">
        <v>52</v>
      </c>
      <c r="C54" s="54" t="s">
        <v>165</v>
      </c>
      <c r="D54" s="54" t="s">
        <v>164</v>
      </c>
    </row>
    <row r="55" spans="2:4" ht="15">
      <c r="B55" s="53">
        <v>53</v>
      </c>
      <c r="C55" s="54" t="s">
        <v>167</v>
      </c>
      <c r="D55" s="54" t="s">
        <v>166</v>
      </c>
    </row>
    <row r="56" spans="2:4" ht="135">
      <c r="B56" s="53">
        <v>54</v>
      </c>
      <c r="C56" s="54" t="s">
        <v>449</v>
      </c>
      <c r="D56" s="54" t="s">
        <v>450</v>
      </c>
    </row>
    <row r="57" spans="2:4" ht="384">
      <c r="B57" s="53">
        <v>55</v>
      </c>
      <c r="C57" s="54" t="s">
        <v>451</v>
      </c>
      <c r="D57" s="54" t="s">
        <v>452</v>
      </c>
    </row>
    <row r="58" spans="2:4" ht="15">
      <c r="B58" s="53">
        <v>56</v>
      </c>
      <c r="C58" s="54" t="s">
        <v>231</v>
      </c>
      <c r="D58" s="54" t="s">
        <v>230</v>
      </c>
    </row>
    <row r="59" spans="2:4" ht="15">
      <c r="B59" s="53">
        <v>57</v>
      </c>
      <c r="C59" s="54" t="s">
        <v>233</v>
      </c>
      <c r="D59" s="54" t="s">
        <v>232</v>
      </c>
    </row>
    <row r="60" spans="2:4" ht="30">
      <c r="B60" s="53">
        <v>58</v>
      </c>
      <c r="C60" s="54" t="s">
        <v>235</v>
      </c>
      <c r="D60" s="54" t="s">
        <v>234</v>
      </c>
    </row>
    <row r="61" spans="2:4" ht="15">
      <c r="B61" s="53">
        <v>59</v>
      </c>
      <c r="C61" s="54" t="s">
        <v>237</v>
      </c>
      <c r="D61" s="54" t="s">
        <v>236</v>
      </c>
    </row>
    <row r="62" spans="2:4" ht="15">
      <c r="B62" s="53">
        <v>60</v>
      </c>
      <c r="C62" s="54" t="s">
        <v>453</v>
      </c>
      <c r="D62" s="54" t="s">
        <v>26</v>
      </c>
    </row>
    <row r="63" spans="2:4" ht="15">
      <c r="B63" s="53">
        <v>61</v>
      </c>
      <c r="C63" s="54" t="s">
        <v>454</v>
      </c>
      <c r="D63" s="54" t="s">
        <v>26</v>
      </c>
    </row>
    <row r="64" spans="2:4" ht="30">
      <c r="B64" s="55">
        <v>62</v>
      </c>
      <c r="C64" s="56" t="s">
        <v>455</v>
      </c>
      <c r="D64" s="56" t="s">
        <v>26</v>
      </c>
    </row>
    <row r="65" spans="2:4" ht="15">
      <c r="B65" s="53">
        <v>63</v>
      </c>
      <c r="C65" s="54" t="s">
        <v>255</v>
      </c>
      <c r="D65" s="54" t="s">
        <v>254</v>
      </c>
    </row>
    <row r="66" spans="2:4" ht="15">
      <c r="B66" s="53">
        <v>64</v>
      </c>
      <c r="C66" s="54" t="s">
        <v>316</v>
      </c>
      <c r="D66" s="54" t="s">
        <v>315</v>
      </c>
    </row>
    <row r="67" spans="2:4" ht="15">
      <c r="B67" s="55">
        <v>65</v>
      </c>
      <c r="C67" s="56" t="s">
        <v>456</v>
      </c>
      <c r="D67" s="56" t="s">
        <v>26</v>
      </c>
    </row>
    <row r="68" spans="2:4" ht="15">
      <c r="B68" s="53">
        <v>66</v>
      </c>
      <c r="C68" s="54" t="s">
        <v>258</v>
      </c>
      <c r="D68" s="54" t="s">
        <v>257</v>
      </c>
    </row>
    <row r="69" spans="2:4" ht="15">
      <c r="B69" s="53">
        <v>67</v>
      </c>
      <c r="C69" s="54" t="s">
        <v>457</v>
      </c>
      <c r="D69" s="54" t="s">
        <v>259</v>
      </c>
    </row>
    <row r="70" spans="2:4" ht="15">
      <c r="B70" s="53">
        <v>68</v>
      </c>
      <c r="C70" s="54" t="s">
        <v>458</v>
      </c>
      <c r="D70" s="54" t="s">
        <v>26</v>
      </c>
    </row>
    <row r="71" spans="2:4" ht="15">
      <c r="B71" s="53">
        <v>69</v>
      </c>
      <c r="C71" s="54" t="s">
        <v>459</v>
      </c>
      <c r="D71" s="54" t="s">
        <v>26</v>
      </c>
    </row>
    <row r="72" spans="2:4" ht="30">
      <c r="B72" s="53">
        <v>70</v>
      </c>
      <c r="C72" s="54" t="s">
        <v>460</v>
      </c>
      <c r="D72" s="54" t="s">
        <v>261</v>
      </c>
    </row>
    <row r="73" spans="2:4" ht="15">
      <c r="B73" s="55">
        <v>71</v>
      </c>
      <c r="C73" s="56" t="s">
        <v>461</v>
      </c>
      <c r="D73" s="56" t="s">
        <v>462</v>
      </c>
    </row>
    <row r="74" spans="2:4" ht="45">
      <c r="B74" s="53">
        <v>72</v>
      </c>
      <c r="C74" s="54" t="s">
        <v>463</v>
      </c>
      <c r="D74" s="54" t="s">
        <v>263</v>
      </c>
    </row>
    <row r="75" spans="2:4" ht="15">
      <c r="B75" s="53">
        <v>73</v>
      </c>
      <c r="C75" s="54" t="s">
        <v>464</v>
      </c>
      <c r="D75" s="54" t="s">
        <v>273</v>
      </c>
    </row>
    <row r="76" spans="2:4" ht="30">
      <c r="B76" s="53">
        <v>74</v>
      </c>
      <c r="C76" s="54" t="s">
        <v>465</v>
      </c>
      <c r="D76" s="54" t="s">
        <v>26</v>
      </c>
    </row>
    <row r="77" spans="2:4" ht="15">
      <c r="B77" s="53">
        <v>75</v>
      </c>
      <c r="C77" s="54" t="s">
        <v>276</v>
      </c>
      <c r="D77" s="54" t="s">
        <v>275</v>
      </c>
    </row>
    <row r="78" spans="2:4" ht="15">
      <c r="B78" s="53">
        <v>76</v>
      </c>
      <c r="C78" s="54" t="s">
        <v>278</v>
      </c>
      <c r="D78" s="54" t="s">
        <v>277</v>
      </c>
    </row>
    <row r="79" spans="2:4" ht="15">
      <c r="B79" s="53">
        <v>77</v>
      </c>
      <c r="C79" s="54" t="s">
        <v>466</v>
      </c>
      <c r="D79" s="54" t="s">
        <v>279</v>
      </c>
    </row>
    <row r="80" spans="2:4" ht="15">
      <c r="B80" s="53">
        <v>78</v>
      </c>
      <c r="C80" s="54" t="s">
        <v>282</v>
      </c>
      <c r="D80" s="54" t="s">
        <v>281</v>
      </c>
    </row>
    <row r="81" spans="2:4" ht="15">
      <c r="B81" s="53">
        <v>79</v>
      </c>
      <c r="C81" s="54" t="s">
        <v>284</v>
      </c>
      <c r="D81" s="54" t="s">
        <v>283</v>
      </c>
    </row>
    <row r="82" spans="2:4" ht="15">
      <c r="B82" s="53">
        <v>80</v>
      </c>
      <c r="C82" s="54" t="s">
        <v>467</v>
      </c>
      <c r="D82" s="54" t="s">
        <v>26</v>
      </c>
    </row>
    <row r="83" spans="2:4" ht="135">
      <c r="B83" s="53">
        <v>81</v>
      </c>
      <c r="C83" s="54" t="s">
        <v>468</v>
      </c>
      <c r="D83" s="54" t="s">
        <v>26</v>
      </c>
    </row>
    <row r="84" spans="2:4" ht="285">
      <c r="B84" s="53">
        <v>82</v>
      </c>
      <c r="C84" s="54" t="s">
        <v>469</v>
      </c>
      <c r="D84" s="54" t="s">
        <v>470</v>
      </c>
    </row>
    <row r="85" spans="2:4" ht="30">
      <c r="B85" s="53">
        <v>83</v>
      </c>
      <c r="C85" s="54" t="s">
        <v>323</v>
      </c>
      <c r="D85" s="54" t="s">
        <v>322</v>
      </c>
    </row>
    <row r="86" spans="2:4" ht="15">
      <c r="B86" s="53">
        <v>84</v>
      </c>
      <c r="C86" s="54" t="s">
        <v>471</v>
      </c>
      <c r="D86" s="54" t="s">
        <v>26</v>
      </c>
    </row>
    <row r="87" spans="2:4" ht="15">
      <c r="B87" s="55">
        <v>85</v>
      </c>
      <c r="C87" s="56" t="s">
        <v>472</v>
      </c>
      <c r="D87" s="56" t="s">
        <v>26</v>
      </c>
    </row>
    <row r="88" spans="2:4" ht="15">
      <c r="B88" s="53">
        <v>86</v>
      </c>
      <c r="C88" s="54" t="s">
        <v>473</v>
      </c>
      <c r="D88" s="54" t="s">
        <v>26</v>
      </c>
    </row>
    <row r="89" spans="2:4" ht="30">
      <c r="B89" s="53">
        <v>87</v>
      </c>
      <c r="C89" s="54" t="s">
        <v>474</v>
      </c>
      <c r="D89" s="54" t="s">
        <v>26</v>
      </c>
    </row>
    <row r="90" spans="2:4" ht="15">
      <c r="B90" s="55">
        <v>88</v>
      </c>
      <c r="C90" s="56" t="s">
        <v>475</v>
      </c>
      <c r="D90" s="56" t="s">
        <v>26</v>
      </c>
    </row>
    <row r="91" spans="2:4" ht="15">
      <c r="B91" s="53">
        <v>89</v>
      </c>
      <c r="C91" s="54" t="s">
        <v>476</v>
      </c>
      <c r="D91" s="54" t="s">
        <v>26</v>
      </c>
    </row>
    <row r="92" spans="2:4" ht="30">
      <c r="B92" s="53">
        <v>90</v>
      </c>
      <c r="C92" s="54" t="s">
        <v>477</v>
      </c>
      <c r="D92" s="54" t="s">
        <v>26</v>
      </c>
    </row>
    <row r="93" spans="2:4" ht="15">
      <c r="B93" s="53">
        <v>91</v>
      </c>
      <c r="C93" s="54" t="s">
        <v>478</v>
      </c>
      <c r="D93" s="54" t="s">
        <v>26</v>
      </c>
    </row>
    <row r="94" spans="2:4" ht="15">
      <c r="B94" s="55">
        <v>92</v>
      </c>
      <c r="C94" s="56" t="s">
        <v>286</v>
      </c>
      <c r="D94" s="56" t="s">
        <v>479</v>
      </c>
    </row>
    <row r="95" spans="2:4" ht="15">
      <c r="B95" s="53">
        <v>93</v>
      </c>
      <c r="C95" s="54" t="s">
        <v>480</v>
      </c>
      <c r="D95" s="54" t="s">
        <v>26</v>
      </c>
    </row>
    <row r="96" spans="2:4" ht="60">
      <c r="B96" s="53">
        <v>94</v>
      </c>
      <c r="C96" s="54" t="s">
        <v>326</v>
      </c>
      <c r="D96" s="54" t="s">
        <v>325</v>
      </c>
    </row>
    <row r="97" spans="2:4" ht="15">
      <c r="B97" s="53">
        <v>95</v>
      </c>
      <c r="C97" s="54" t="s">
        <v>328</v>
      </c>
      <c r="D97" s="54" t="s">
        <v>327</v>
      </c>
    </row>
    <row r="98" spans="2:4" ht="30">
      <c r="B98" s="53">
        <v>96</v>
      </c>
      <c r="C98" s="54" t="s">
        <v>330</v>
      </c>
      <c r="D98" s="54" t="s">
        <v>329</v>
      </c>
    </row>
    <row r="99" spans="2:4" ht="30">
      <c r="B99" s="53">
        <v>97</v>
      </c>
      <c r="C99" s="54" t="s">
        <v>332</v>
      </c>
      <c r="D99" s="54" t="s">
        <v>331</v>
      </c>
    </row>
    <row r="100" spans="2:4" ht="30">
      <c r="B100" s="53">
        <v>98</v>
      </c>
      <c r="C100" s="54" t="s">
        <v>334</v>
      </c>
      <c r="D100" s="54" t="s">
        <v>333</v>
      </c>
    </row>
    <row r="101" spans="2:4" ht="45">
      <c r="B101" s="53">
        <v>99</v>
      </c>
      <c r="C101" s="54" t="s">
        <v>336</v>
      </c>
      <c r="D101" s="54" t="s">
        <v>335</v>
      </c>
    </row>
    <row r="102" spans="2:4" ht="30">
      <c r="B102" s="53">
        <v>100</v>
      </c>
      <c r="C102" s="54" t="s">
        <v>338</v>
      </c>
      <c r="D102" s="54" t="s">
        <v>337</v>
      </c>
    </row>
    <row r="103" spans="2:4" ht="15">
      <c r="B103" s="53">
        <v>101</v>
      </c>
      <c r="C103" s="54" t="s">
        <v>340</v>
      </c>
      <c r="D103" s="54" t="s">
        <v>339</v>
      </c>
    </row>
    <row r="104" spans="2:4" ht="15">
      <c r="B104" s="53">
        <v>102</v>
      </c>
      <c r="C104" s="54" t="s">
        <v>342</v>
      </c>
      <c r="D104" s="54" t="s">
        <v>341</v>
      </c>
    </row>
    <row r="105" spans="2:4" ht="45">
      <c r="B105" s="53">
        <v>103</v>
      </c>
      <c r="C105" s="54" t="s">
        <v>344</v>
      </c>
      <c r="D105" s="54" t="s">
        <v>343</v>
      </c>
    </row>
    <row r="106" spans="2:4" ht="15">
      <c r="B106" s="53">
        <v>104</v>
      </c>
      <c r="C106" s="54" t="s">
        <v>346</v>
      </c>
      <c r="D106" s="54" t="s">
        <v>345</v>
      </c>
    </row>
    <row r="107" spans="2:4" ht="60">
      <c r="B107" s="53">
        <v>105</v>
      </c>
      <c r="C107" s="54" t="s">
        <v>348</v>
      </c>
      <c r="D107" s="54" t="s">
        <v>347</v>
      </c>
    </row>
    <row r="108" spans="2:4" ht="30">
      <c r="B108" s="53">
        <v>106</v>
      </c>
      <c r="C108" s="54" t="s">
        <v>350</v>
      </c>
      <c r="D108" s="54" t="s">
        <v>349</v>
      </c>
    </row>
    <row r="109" spans="2:4" ht="30">
      <c r="B109" s="53">
        <v>107</v>
      </c>
      <c r="C109" s="54" t="s">
        <v>352</v>
      </c>
      <c r="D109" s="54" t="s">
        <v>351</v>
      </c>
    </row>
    <row r="110" spans="2:4" ht="15">
      <c r="B110" s="53">
        <v>108</v>
      </c>
      <c r="C110" s="54" t="s">
        <v>354</v>
      </c>
      <c r="D110" s="54" t="s">
        <v>353</v>
      </c>
    </row>
    <row r="111" spans="2:4" ht="15">
      <c r="B111" s="53">
        <v>109</v>
      </c>
      <c r="C111" s="54" t="s">
        <v>356</v>
      </c>
      <c r="D111" s="54" t="s">
        <v>355</v>
      </c>
    </row>
    <row r="112" spans="2:4" ht="30">
      <c r="B112" s="53">
        <v>110</v>
      </c>
      <c r="C112" s="54" t="s">
        <v>358</v>
      </c>
      <c r="D112" s="54" t="s">
        <v>357</v>
      </c>
    </row>
    <row r="113" spans="2:4" ht="30">
      <c r="B113" s="53">
        <v>111</v>
      </c>
      <c r="C113" s="54" t="s">
        <v>360</v>
      </c>
      <c r="D113" s="54" t="s">
        <v>359</v>
      </c>
    </row>
    <row r="114" spans="2:4" ht="15">
      <c r="B114" s="53">
        <v>112</v>
      </c>
      <c r="C114" s="54" t="s">
        <v>362</v>
      </c>
      <c r="D114" s="54" t="s">
        <v>361</v>
      </c>
    </row>
    <row r="115" spans="2:4" ht="45">
      <c r="B115" s="53">
        <v>113</v>
      </c>
      <c r="C115" s="54" t="s">
        <v>44</v>
      </c>
      <c r="D115" s="54" t="s">
        <v>43</v>
      </c>
    </row>
    <row r="116" spans="2:4" ht="45">
      <c r="B116" s="53">
        <v>114</v>
      </c>
      <c r="C116" s="54" t="s">
        <v>481</v>
      </c>
      <c r="D116" s="54" t="s">
        <v>46</v>
      </c>
    </row>
    <row r="117" spans="2:4" ht="60">
      <c r="B117" s="53">
        <v>115</v>
      </c>
      <c r="C117" s="54" t="s">
        <v>49</v>
      </c>
      <c r="D117" s="54" t="s">
        <v>48</v>
      </c>
    </row>
    <row r="118" spans="2:4" ht="195">
      <c r="B118" s="53">
        <v>116</v>
      </c>
      <c r="C118" s="54" t="s">
        <v>482</v>
      </c>
      <c r="D118" s="54" t="s">
        <v>50</v>
      </c>
    </row>
    <row r="119" spans="2:4" ht="30">
      <c r="B119" s="53">
        <v>117</v>
      </c>
      <c r="C119" s="54" t="s">
        <v>53</v>
      </c>
      <c r="D119" s="54" t="s">
        <v>52</v>
      </c>
    </row>
    <row r="120" spans="2:4" ht="30">
      <c r="B120" s="53">
        <v>118</v>
      </c>
      <c r="C120" s="54" t="s">
        <v>71</v>
      </c>
      <c r="D120" s="54" t="s">
        <v>70</v>
      </c>
    </row>
    <row r="121" spans="2:4" ht="30">
      <c r="B121" s="53">
        <v>119</v>
      </c>
      <c r="C121" s="54" t="s">
        <v>74</v>
      </c>
      <c r="D121" s="54" t="s">
        <v>73</v>
      </c>
    </row>
    <row r="122" spans="2:4" ht="15">
      <c r="B122" s="53">
        <v>120</v>
      </c>
      <c r="C122" s="54" t="s">
        <v>76</v>
      </c>
      <c r="D122" s="54" t="s">
        <v>75</v>
      </c>
    </row>
    <row r="123" spans="2:4" ht="15">
      <c r="B123" s="53">
        <v>121</v>
      </c>
      <c r="C123" s="54" t="s">
        <v>78</v>
      </c>
      <c r="D123" s="54" t="s">
        <v>77</v>
      </c>
    </row>
    <row r="124" spans="2:4" ht="30">
      <c r="B124" s="53">
        <v>122</v>
      </c>
      <c r="C124" s="54" t="s">
        <v>80</v>
      </c>
      <c r="D124" s="54" t="s">
        <v>79</v>
      </c>
    </row>
    <row r="125" spans="2:4" ht="15">
      <c r="B125" s="53">
        <v>123</v>
      </c>
      <c r="C125" s="54" t="s">
        <v>82</v>
      </c>
      <c r="D125" s="54" t="s">
        <v>81</v>
      </c>
    </row>
    <row r="126" spans="2:4" ht="30">
      <c r="B126" s="53">
        <v>124</v>
      </c>
      <c r="C126" s="54" t="s">
        <v>84</v>
      </c>
      <c r="D126" s="54" t="s">
        <v>83</v>
      </c>
    </row>
    <row r="127" spans="2:4" ht="45">
      <c r="B127" s="53">
        <v>125</v>
      </c>
      <c r="C127" s="54" t="s">
        <v>86</v>
      </c>
      <c r="D127" s="54" t="s">
        <v>85</v>
      </c>
    </row>
    <row r="128" spans="2:4" ht="30">
      <c r="B128" s="53">
        <v>126</v>
      </c>
      <c r="C128" s="54" t="s">
        <v>88</v>
      </c>
      <c r="D128" s="54" t="s">
        <v>87</v>
      </c>
    </row>
    <row r="129" spans="2:4" ht="15">
      <c r="B129" s="53">
        <v>127</v>
      </c>
      <c r="C129" s="54" t="s">
        <v>128</v>
      </c>
      <c r="D129" s="54" t="s">
        <v>127</v>
      </c>
    </row>
    <row r="130" spans="2:4" ht="15">
      <c r="B130" s="53">
        <v>128</v>
      </c>
      <c r="C130" s="54" t="s">
        <v>130</v>
      </c>
      <c r="D130" s="54" t="s">
        <v>129</v>
      </c>
    </row>
    <row r="131" spans="2:4" ht="30">
      <c r="B131" s="53">
        <v>129</v>
      </c>
      <c r="C131" s="54" t="s">
        <v>132</v>
      </c>
      <c r="D131" s="54" t="s">
        <v>131</v>
      </c>
    </row>
    <row r="132" spans="2:4" ht="15">
      <c r="B132" s="53">
        <v>130</v>
      </c>
      <c r="C132" s="54" t="s">
        <v>135</v>
      </c>
      <c r="D132" s="54" t="s">
        <v>134</v>
      </c>
    </row>
    <row r="133" spans="2:4" ht="15">
      <c r="B133" s="53">
        <v>131</v>
      </c>
      <c r="C133" s="54" t="s">
        <v>137</v>
      </c>
      <c r="D133" s="54" t="s">
        <v>136</v>
      </c>
    </row>
    <row r="134" spans="2:4" ht="15">
      <c r="B134" s="53">
        <v>132</v>
      </c>
      <c r="C134" s="54" t="s">
        <v>140</v>
      </c>
      <c r="D134" s="54" t="s">
        <v>139</v>
      </c>
    </row>
    <row r="135" spans="2:4" ht="30">
      <c r="B135" s="53">
        <v>133</v>
      </c>
      <c r="C135" s="54" t="s">
        <v>142</v>
      </c>
      <c r="D135" s="54" t="s">
        <v>141</v>
      </c>
    </row>
    <row r="136" spans="2:4" ht="30">
      <c r="B136" s="53">
        <v>134</v>
      </c>
      <c r="C136" s="54" t="s">
        <v>144</v>
      </c>
      <c r="D136" s="54" t="s">
        <v>143</v>
      </c>
    </row>
    <row r="137" spans="2:4" ht="30">
      <c r="B137" s="53">
        <v>135</v>
      </c>
      <c r="C137" s="54" t="s">
        <v>146</v>
      </c>
      <c r="D137" s="54" t="s">
        <v>145</v>
      </c>
    </row>
    <row r="138" spans="2:4" ht="15">
      <c r="B138" s="53">
        <v>136</v>
      </c>
      <c r="C138" s="54" t="s">
        <v>148</v>
      </c>
      <c r="D138" s="54" t="s">
        <v>147</v>
      </c>
    </row>
    <row r="139" spans="2:4" ht="30">
      <c r="B139" s="53">
        <v>137</v>
      </c>
      <c r="C139" s="54" t="s">
        <v>150</v>
      </c>
      <c r="D139" s="54" t="s">
        <v>149</v>
      </c>
    </row>
    <row r="140" spans="2:4" ht="15">
      <c r="B140" s="53">
        <v>138</v>
      </c>
      <c r="C140" s="54" t="s">
        <v>152</v>
      </c>
      <c r="D140" s="54" t="s">
        <v>151</v>
      </c>
    </row>
    <row r="141" spans="2:4" ht="45">
      <c r="B141" s="53">
        <v>139</v>
      </c>
      <c r="C141" s="54" t="s">
        <v>159</v>
      </c>
      <c r="D141" s="54" t="s">
        <v>158</v>
      </c>
    </row>
    <row r="142" spans="2:4" ht="30">
      <c r="B142" s="53">
        <v>140</v>
      </c>
      <c r="C142" s="54" t="s">
        <v>386</v>
      </c>
      <c r="D142" s="54" t="s">
        <v>239</v>
      </c>
    </row>
    <row r="143" spans="2:4" ht="30">
      <c r="B143" s="53">
        <v>141</v>
      </c>
      <c r="C143" s="54" t="s">
        <v>242</v>
      </c>
      <c r="D143" s="54" t="s">
        <v>241</v>
      </c>
    </row>
    <row r="144" spans="2:4" ht="45">
      <c r="B144" s="53">
        <v>142</v>
      </c>
      <c r="C144" s="54" t="s">
        <v>245</v>
      </c>
      <c r="D144" s="54" t="s">
        <v>244</v>
      </c>
    </row>
    <row r="145" spans="2:4" ht="30">
      <c r="B145" s="53">
        <v>143</v>
      </c>
      <c r="C145" s="54" t="s">
        <v>247</v>
      </c>
      <c r="D145" s="54" t="s">
        <v>246</v>
      </c>
    </row>
    <row r="146" spans="2:4" ht="15">
      <c r="B146" s="53">
        <v>144</v>
      </c>
      <c r="C146" s="54" t="s">
        <v>249</v>
      </c>
      <c r="D146" s="54" t="s">
        <v>248</v>
      </c>
    </row>
    <row r="147" spans="2:4" ht="30">
      <c r="B147" s="53">
        <v>145</v>
      </c>
      <c r="C147" s="54" t="s">
        <v>251</v>
      </c>
      <c r="D147" s="54" t="s">
        <v>250</v>
      </c>
    </row>
    <row r="148" spans="2:4" ht="15">
      <c r="B148" s="53">
        <v>146</v>
      </c>
      <c r="C148" s="54" t="s">
        <v>253</v>
      </c>
      <c r="D148" s="54" t="s">
        <v>252</v>
      </c>
    </row>
    <row r="149" spans="2:4" ht="15">
      <c r="B149" s="53">
        <v>147</v>
      </c>
      <c r="C149" s="54" t="s">
        <v>266</v>
      </c>
      <c r="D149" s="54" t="s">
        <v>265</v>
      </c>
    </row>
    <row r="150" spans="2:4" ht="120">
      <c r="B150" s="53">
        <v>148</v>
      </c>
      <c r="C150" s="54" t="s">
        <v>483</v>
      </c>
      <c r="D150" s="54" t="s">
        <v>484</v>
      </c>
    </row>
    <row r="151" spans="2:4" ht="105">
      <c r="B151" s="53">
        <v>149</v>
      </c>
      <c r="C151" s="54" t="s">
        <v>485</v>
      </c>
      <c r="D151" s="54" t="s">
        <v>486</v>
      </c>
    </row>
    <row r="152" spans="2:4" ht="30">
      <c r="B152" s="53">
        <v>150</v>
      </c>
      <c r="C152" s="54" t="s">
        <v>318</v>
      </c>
      <c r="D152" s="54" t="s">
        <v>317</v>
      </c>
    </row>
    <row r="153" spans="2:4" ht="30">
      <c r="B153" s="53">
        <v>151</v>
      </c>
      <c r="C153" s="54" t="s">
        <v>320</v>
      </c>
      <c r="D153" s="54" t="s">
        <v>319</v>
      </c>
    </row>
  </sheetData>
  <autoFilter ref="B2:D153" xr:uid="{00000000-0009-0000-0000-000004000000}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Все требования</vt:lpstr>
      <vt:lpstr>Первый релиз (04.09)</vt:lpstr>
      <vt:lpstr> Первый релиз (05.08)</vt:lpstr>
      <vt:lpstr>Первый релиз (07.09)</vt:lpstr>
      <vt:lpstr>Все требования (07.09)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Горбенко Дмитрий Александрович</cp:lastModifiedBy>
  <cp:revision>7</cp:revision>
  <dcterms:modified xsi:type="dcterms:W3CDTF">2026-09-25T13:10:08Z</dcterms:modified>
</cp:coreProperties>
</file>